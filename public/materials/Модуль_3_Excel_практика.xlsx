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1"/>
  <workbookPr/>
  <mc:AlternateContent xmlns:mc="http://schemas.openxmlformats.org/markup-compatibility/2006">
    <mc:Choice Requires="x15">
      <x15ac:absPath xmlns:x15ac="http://schemas.microsoft.com/office/spreadsheetml/2010/11/ac" url="C:\Users\dlami\AppData\Local\Temp\claude\C--Users-dlami-Desktop-----------2-0\71c386d6-c341-4e8c-86ae-90f4e050333e\scratchpad\"/>
    </mc:Choice>
  </mc:AlternateContent>
  <xr:revisionPtr revIDLastSave="0" documentId="13_ncr:1_{2166B7FE-C050-4750-8670-0F02E90DAE3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Обложка" sheetId="1" r:id="rId1"/>
    <sheet name="Справочник_товаров" sheetId="2" r:id="rId2"/>
    <sheet name="Данные_продажи" sheetId="3" r:id="rId3"/>
    <sheet name="Задание 1. Отчёт" sheetId="4" r:id="rId4"/>
    <sheet name="Задание 2. Дашборд" sheetId="5" r:id="rId5"/>
    <sheet name="Excel-спринт" sheetId="6" r:id="rId6"/>
    <sheet name="Ключ_Спринт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" i="7" l="1"/>
  <c r="E11" i="7" s="1"/>
  <c r="F11" i="7" s="1"/>
  <c r="D10" i="7"/>
  <c r="E10" i="7" s="1"/>
  <c r="F10" i="7" s="1"/>
  <c r="D9" i="7"/>
  <c r="E9" i="7" s="1"/>
  <c r="F9" i="7" s="1"/>
  <c r="D8" i="7"/>
  <c r="E8" i="7" s="1"/>
  <c r="F8" i="7" s="1"/>
  <c r="D7" i="7"/>
  <c r="E7" i="7" s="1"/>
  <c r="F7" i="7" s="1"/>
  <c r="D6" i="7"/>
  <c r="E6" i="7" s="1"/>
  <c r="F6" i="7" s="1"/>
  <c r="D5" i="7"/>
  <c r="E5" i="7" s="1"/>
  <c r="F5" i="7" s="1"/>
  <c r="D4" i="7"/>
  <c r="E4" i="7" s="1"/>
  <c r="F4" i="7" s="1"/>
  <c r="D3" i="7"/>
  <c r="E3" i="7" s="1"/>
  <c r="F3" i="7" s="1"/>
  <c r="D2" i="7"/>
  <c r="E2" i="7" s="1"/>
  <c r="F2" i="7" s="1"/>
  <c r="D2" i="6"/>
  <c r="E2" i="6" s="1"/>
  <c r="F2" i="6" s="1"/>
  <c r="G91" i="3"/>
  <c r="I91" i="3" s="1"/>
  <c r="F91" i="3"/>
  <c r="G90" i="3"/>
  <c r="I90" i="3" s="1"/>
  <c r="F90" i="3"/>
  <c r="G89" i="3"/>
  <c r="I89" i="3" s="1"/>
  <c r="F89" i="3"/>
  <c r="G88" i="3"/>
  <c r="I88" i="3" s="1"/>
  <c r="F88" i="3"/>
  <c r="G87" i="3"/>
  <c r="I87" i="3" s="1"/>
  <c r="F87" i="3"/>
  <c r="G86" i="3"/>
  <c r="I86" i="3" s="1"/>
  <c r="F86" i="3"/>
  <c r="G85" i="3"/>
  <c r="I85" i="3" s="1"/>
  <c r="F85" i="3"/>
  <c r="G84" i="3"/>
  <c r="I84" i="3" s="1"/>
  <c r="F84" i="3"/>
  <c r="G83" i="3"/>
  <c r="I83" i="3" s="1"/>
  <c r="F83" i="3"/>
  <c r="G82" i="3"/>
  <c r="I82" i="3" s="1"/>
  <c r="F82" i="3"/>
  <c r="G81" i="3"/>
  <c r="I81" i="3" s="1"/>
  <c r="F81" i="3"/>
  <c r="G80" i="3"/>
  <c r="I80" i="3" s="1"/>
  <c r="F80" i="3"/>
  <c r="G79" i="3"/>
  <c r="I79" i="3" s="1"/>
  <c r="F79" i="3"/>
  <c r="G78" i="3"/>
  <c r="I78" i="3" s="1"/>
  <c r="F78" i="3"/>
  <c r="G77" i="3"/>
  <c r="I77" i="3" s="1"/>
  <c r="F77" i="3"/>
  <c r="G76" i="3"/>
  <c r="I76" i="3" s="1"/>
  <c r="F76" i="3"/>
  <c r="G75" i="3"/>
  <c r="I75" i="3" s="1"/>
  <c r="F75" i="3"/>
  <c r="G74" i="3"/>
  <c r="I74" i="3" s="1"/>
  <c r="F74" i="3"/>
  <c r="G73" i="3"/>
  <c r="I73" i="3" s="1"/>
  <c r="F73" i="3"/>
  <c r="G72" i="3"/>
  <c r="I72" i="3" s="1"/>
  <c r="F72" i="3"/>
  <c r="G71" i="3"/>
  <c r="I71" i="3" s="1"/>
  <c r="F71" i="3"/>
  <c r="G70" i="3"/>
  <c r="I70" i="3" s="1"/>
  <c r="F70" i="3"/>
  <c r="G69" i="3"/>
  <c r="I69" i="3" s="1"/>
  <c r="F69" i="3"/>
  <c r="G68" i="3"/>
  <c r="I68" i="3" s="1"/>
  <c r="F68" i="3"/>
  <c r="G67" i="3"/>
  <c r="I67" i="3" s="1"/>
  <c r="F67" i="3"/>
  <c r="G66" i="3"/>
  <c r="I66" i="3" s="1"/>
  <c r="F66" i="3"/>
  <c r="G65" i="3"/>
  <c r="I65" i="3" s="1"/>
  <c r="F65" i="3"/>
  <c r="G64" i="3"/>
  <c r="I64" i="3" s="1"/>
  <c r="F64" i="3"/>
  <c r="G63" i="3"/>
  <c r="I63" i="3" s="1"/>
  <c r="F63" i="3"/>
  <c r="G62" i="3"/>
  <c r="I62" i="3" s="1"/>
  <c r="F62" i="3"/>
  <c r="G61" i="3"/>
  <c r="I61" i="3" s="1"/>
  <c r="F61" i="3"/>
  <c r="G60" i="3"/>
  <c r="I60" i="3" s="1"/>
  <c r="F60" i="3"/>
  <c r="G59" i="3"/>
  <c r="I59" i="3" s="1"/>
  <c r="F59" i="3"/>
  <c r="G58" i="3"/>
  <c r="I58" i="3" s="1"/>
  <c r="F58" i="3"/>
  <c r="G57" i="3"/>
  <c r="I57" i="3" s="1"/>
  <c r="F57" i="3"/>
  <c r="G56" i="3"/>
  <c r="I56" i="3" s="1"/>
  <c r="F56" i="3"/>
  <c r="G55" i="3"/>
  <c r="I55" i="3" s="1"/>
  <c r="F55" i="3"/>
  <c r="G54" i="3"/>
  <c r="I54" i="3" s="1"/>
  <c r="F54" i="3"/>
  <c r="G53" i="3"/>
  <c r="I53" i="3" s="1"/>
  <c r="F53" i="3"/>
  <c r="G52" i="3"/>
  <c r="I52" i="3" s="1"/>
  <c r="F52" i="3"/>
  <c r="G51" i="3"/>
  <c r="I51" i="3" s="1"/>
  <c r="F51" i="3"/>
  <c r="G50" i="3"/>
  <c r="I50" i="3" s="1"/>
  <c r="F50" i="3"/>
  <c r="G49" i="3"/>
  <c r="I49" i="3" s="1"/>
  <c r="F49" i="3"/>
  <c r="G48" i="3"/>
  <c r="I48" i="3" s="1"/>
  <c r="F48" i="3"/>
  <c r="G47" i="3"/>
  <c r="I47" i="3" s="1"/>
  <c r="F47" i="3"/>
  <c r="G46" i="3"/>
  <c r="I46" i="3" s="1"/>
  <c r="F46" i="3"/>
  <c r="G45" i="3"/>
  <c r="I45" i="3" s="1"/>
  <c r="F45" i="3"/>
  <c r="G44" i="3"/>
  <c r="I44" i="3" s="1"/>
  <c r="F44" i="3"/>
  <c r="G43" i="3"/>
  <c r="I43" i="3" s="1"/>
  <c r="F43" i="3"/>
  <c r="G42" i="3"/>
  <c r="I42" i="3" s="1"/>
  <c r="F42" i="3"/>
  <c r="G41" i="3"/>
  <c r="I41" i="3" s="1"/>
  <c r="F41" i="3"/>
  <c r="G40" i="3"/>
  <c r="I40" i="3" s="1"/>
  <c r="F40" i="3"/>
  <c r="G39" i="3"/>
  <c r="I39" i="3" s="1"/>
  <c r="F39" i="3"/>
  <c r="G38" i="3"/>
  <c r="I38" i="3" s="1"/>
  <c r="F38" i="3"/>
  <c r="G37" i="3"/>
  <c r="I37" i="3" s="1"/>
  <c r="F37" i="3"/>
  <c r="G36" i="3"/>
  <c r="I36" i="3" s="1"/>
  <c r="F36" i="3"/>
  <c r="G35" i="3"/>
  <c r="I35" i="3" s="1"/>
  <c r="F35" i="3"/>
  <c r="G34" i="3"/>
  <c r="I34" i="3" s="1"/>
  <c r="F34" i="3"/>
  <c r="G33" i="3"/>
  <c r="I33" i="3" s="1"/>
  <c r="F33" i="3"/>
  <c r="G32" i="3"/>
  <c r="I32" i="3" s="1"/>
  <c r="F32" i="3"/>
  <c r="G31" i="3"/>
  <c r="I31" i="3" s="1"/>
  <c r="F31" i="3"/>
  <c r="G30" i="3"/>
  <c r="I30" i="3" s="1"/>
  <c r="F30" i="3"/>
  <c r="G29" i="3"/>
  <c r="I29" i="3" s="1"/>
  <c r="F29" i="3"/>
  <c r="G28" i="3"/>
  <c r="I28" i="3" s="1"/>
  <c r="F28" i="3"/>
  <c r="G27" i="3"/>
  <c r="I27" i="3" s="1"/>
  <c r="F27" i="3"/>
  <c r="G26" i="3"/>
  <c r="I26" i="3" s="1"/>
  <c r="F26" i="3"/>
  <c r="G25" i="3"/>
  <c r="I25" i="3" s="1"/>
  <c r="F25" i="3"/>
  <c r="G24" i="3"/>
  <c r="I24" i="3" s="1"/>
  <c r="F24" i="3"/>
  <c r="G23" i="3"/>
  <c r="I23" i="3" s="1"/>
  <c r="F23" i="3"/>
  <c r="G22" i="3"/>
  <c r="I22" i="3" s="1"/>
  <c r="F22" i="3"/>
  <c r="G21" i="3"/>
  <c r="I21" i="3" s="1"/>
  <c r="F21" i="3"/>
  <c r="G20" i="3"/>
  <c r="I20" i="3" s="1"/>
  <c r="F20" i="3"/>
  <c r="G19" i="3"/>
  <c r="I19" i="3" s="1"/>
  <c r="F19" i="3"/>
  <c r="G18" i="3"/>
  <c r="I18" i="3" s="1"/>
  <c r="F18" i="3"/>
  <c r="G17" i="3"/>
  <c r="I17" i="3" s="1"/>
  <c r="F17" i="3"/>
  <c r="G16" i="3"/>
  <c r="I16" i="3" s="1"/>
  <c r="F16" i="3"/>
  <c r="G15" i="3"/>
  <c r="I15" i="3" s="1"/>
  <c r="C16" i="4" s="1"/>
  <c r="F15" i="3"/>
  <c r="G14" i="3"/>
  <c r="I14" i="3" s="1"/>
  <c r="F14" i="3"/>
  <c r="G13" i="3"/>
  <c r="I13" i="3" s="1"/>
  <c r="B15" i="4" s="1"/>
  <c r="F13" i="3"/>
  <c r="G12" i="3"/>
  <c r="I12" i="3" s="1"/>
  <c r="F12" i="3"/>
  <c r="G11" i="3"/>
  <c r="I11" i="3" s="1"/>
  <c r="F11" i="3"/>
  <c r="G10" i="3"/>
  <c r="I10" i="3" s="1"/>
  <c r="F10" i="3"/>
  <c r="G9" i="3"/>
  <c r="I9" i="3" s="1"/>
  <c r="F9" i="3"/>
  <c r="G8" i="3"/>
  <c r="I8" i="3" s="1"/>
  <c r="F8" i="3"/>
  <c r="G7" i="3"/>
  <c r="I7" i="3" s="1"/>
  <c r="F7" i="3"/>
  <c r="G6" i="3"/>
  <c r="I6" i="3" s="1"/>
  <c r="D17" i="4" s="1"/>
  <c r="F6" i="3"/>
  <c r="G5" i="3"/>
  <c r="I5" i="3" s="1"/>
  <c r="F5" i="3"/>
  <c r="G4" i="3"/>
  <c r="I4" i="3" s="1"/>
  <c r="F4" i="3"/>
  <c r="G3" i="3"/>
  <c r="I3" i="3" s="1"/>
  <c r="F3" i="3"/>
  <c r="G2" i="3"/>
  <c r="I2" i="3" s="1"/>
  <c r="F2" i="3"/>
  <c r="B14" i="4" l="1"/>
  <c r="E14" i="4"/>
  <c r="D14" i="4"/>
  <c r="D15" i="4"/>
  <c r="E16" i="4"/>
  <c r="C15" i="4"/>
  <c r="B16" i="4"/>
  <c r="E17" i="4"/>
  <c r="C17" i="4"/>
  <c r="D16" i="4"/>
  <c r="B7" i="5"/>
  <c r="B8" i="5"/>
  <c r="B17" i="4"/>
  <c r="B6" i="5"/>
  <c r="E15" i="4"/>
  <c r="B27" i="5"/>
  <c r="B29" i="5"/>
  <c r="B34" i="5"/>
  <c r="B5" i="5"/>
  <c r="B28" i="5"/>
  <c r="B31" i="5"/>
  <c r="B33" i="5"/>
  <c r="B23" i="5"/>
  <c r="B24" i="5"/>
  <c r="B25" i="5"/>
  <c r="B26" i="5"/>
  <c r="C14" i="4"/>
  <c r="B30" i="5"/>
  <c r="B32" i="5"/>
</calcChain>
</file>

<file path=xl/sharedStrings.xml><?xml version="1.0" encoding="utf-8"?>
<sst xmlns="http://schemas.openxmlformats.org/spreadsheetml/2006/main" count="498" uniqueCount="165">
  <si>
    <t>Модуль 3. Excel — рабочий инструмент финансиста</t>
  </si>
  <si>
    <t>Рабочая тетрадь для практических заданий курса «Финансовый аналитик».</t>
  </si>
  <si>
    <t>Как устроена тетрадь:</t>
  </si>
  <si>
    <t>Данные_продажи</t>
  </si>
  <si>
    <t>исходные данные — 90 заказов; «Категория» и «Цена» посчитаны формулами (урок 3.2)</t>
  </si>
  <si>
    <t>Справочник_товаров</t>
  </si>
  <si>
    <t>цены и категории по коду товара — на него ссылаются формулы</t>
  </si>
  <si>
    <t>Задание 1. Отчёт</t>
  </si>
  <si>
    <t>постройте сводную таблицу и сверьте с готовой SUMIFS-таблицей (уроки 3.3–3.4, 3.9)</t>
  </si>
  <si>
    <t>Задание 2. Дашборд</t>
  </si>
  <si>
    <t>постройте график «по месяцам» рядом с готовым «по регионам» (урок 3.9)</t>
  </si>
  <si>
    <t>Excel-спринт</t>
  </si>
  <si>
    <t>впишите формулы в жёлтые ячейки на время (урок 3.10)</t>
  </si>
  <si>
    <t>Ключ_Спринт</t>
  </si>
  <si>
    <t>готовые формулы — сверить логику и результат после спринта</t>
  </si>
  <si>
    <t>Цветовой код (принят в финансовом моделировании, урок 3.2):</t>
  </si>
  <si>
    <t>синий текст — введено руками</t>
  </si>
  <si>
    <t>чёрный текст — формула в пределах листа</t>
  </si>
  <si>
    <t>зелёный текст — формула, ссылающаяся на другой лист</t>
  </si>
  <si>
    <t>жёлтая заливка — ячейка, которую нужно заполнить самостоятельно</t>
  </si>
  <si>
    <t>Код товара</t>
  </si>
  <si>
    <t>Категория</t>
  </si>
  <si>
    <t>Цена, ₽</t>
  </si>
  <si>
    <t>TV-01</t>
  </si>
  <si>
    <t>Электроника</t>
  </si>
  <si>
    <t>PH-02</t>
  </si>
  <si>
    <t>NB-03</t>
  </si>
  <si>
    <t>VC-04</t>
  </si>
  <si>
    <t>Бытовая техника</t>
  </si>
  <si>
    <t>MW-05</t>
  </si>
  <si>
    <t>KT-06</t>
  </si>
  <si>
    <t>CH-07</t>
  </si>
  <si>
    <t>Мебель</t>
  </si>
  <si>
    <t>TB-08</t>
  </si>
  <si>
    <t>HP-09</t>
  </si>
  <si>
    <t>Аксессуары</t>
  </si>
  <si>
    <t>BG-10</t>
  </si>
  <si>
    <t>Синим — исходные данные справочника (вводятся руками).</t>
  </si>
  <si>
    <t>№ заказа</t>
  </si>
  <si>
    <t>Дата</t>
  </si>
  <si>
    <t>Регион</t>
  </si>
  <si>
    <t>Менеджер</t>
  </si>
  <si>
    <t>Кол-во</t>
  </si>
  <si>
    <t>Сумма, ₽</t>
  </si>
  <si>
    <t>2024-01-21</t>
  </si>
  <si>
    <t>Москва</t>
  </si>
  <si>
    <t>Иванов</t>
  </si>
  <si>
    <t>2024-02-08</t>
  </si>
  <si>
    <t>Санкт-Петербург</t>
  </si>
  <si>
    <t>2024-03-19</t>
  </si>
  <si>
    <t>Казань</t>
  </si>
  <si>
    <t>2024-04-07</t>
  </si>
  <si>
    <t>2024-05-23</t>
  </si>
  <si>
    <t>Петрова</t>
  </si>
  <si>
    <t>2024-06-09</t>
  </si>
  <si>
    <t>2024-07-09</t>
  </si>
  <si>
    <t>2024-08-03</t>
  </si>
  <si>
    <t>2024-09-20</t>
  </si>
  <si>
    <t>Новосибирск</t>
  </si>
  <si>
    <t>2024-10-04</t>
  </si>
  <si>
    <t>2024-11-27</t>
  </si>
  <si>
    <t>2024-12-22</t>
  </si>
  <si>
    <t>Сидоров</t>
  </si>
  <si>
    <t>2024-01-28</t>
  </si>
  <si>
    <t>Кузнецова</t>
  </si>
  <si>
    <t>2024-02-21</t>
  </si>
  <si>
    <t>2024-03-07</t>
  </si>
  <si>
    <t>2024-04-18</t>
  </si>
  <si>
    <t>2024-05-09</t>
  </si>
  <si>
    <t>2024-06-27</t>
  </si>
  <si>
    <t>2024-07-03</t>
  </si>
  <si>
    <t>2024-08-13</t>
  </si>
  <si>
    <t>2024-09-08</t>
  </si>
  <si>
    <t>2024-10-12</t>
  </si>
  <si>
    <t>2024-11-03</t>
  </si>
  <si>
    <t>2024-12-26</t>
  </si>
  <si>
    <t>2024-01-20</t>
  </si>
  <si>
    <t>2024-02-22</t>
  </si>
  <si>
    <t>2024-03-10</t>
  </si>
  <si>
    <t>2024-04-24</t>
  </si>
  <si>
    <t>2024-05-28</t>
  </si>
  <si>
    <t>2024-06-25</t>
  </si>
  <si>
    <t>2024-07-16</t>
  </si>
  <si>
    <t>2024-08-08</t>
  </si>
  <si>
    <t>2024-09-03</t>
  </si>
  <si>
    <t>2024-10-05</t>
  </si>
  <si>
    <t>2024-11-28</t>
  </si>
  <si>
    <t>2024-12-23</t>
  </si>
  <si>
    <t>2024-01-17</t>
  </si>
  <si>
    <t>2024-02-03</t>
  </si>
  <si>
    <t>2024-03-08</t>
  </si>
  <si>
    <t>2024-04-08</t>
  </si>
  <si>
    <t>2024-05-17</t>
  </si>
  <si>
    <t>2024-06-18</t>
  </si>
  <si>
    <t>2024-07-26</t>
  </si>
  <si>
    <t>2024-08-22</t>
  </si>
  <si>
    <t>2024-09-15</t>
  </si>
  <si>
    <t>2024-10-24</t>
  </si>
  <si>
    <t>2024-11-07</t>
  </si>
  <si>
    <t>2024-12-09</t>
  </si>
  <si>
    <t>2024-01-26</t>
  </si>
  <si>
    <t>2024-03-16</t>
  </si>
  <si>
    <t>2024-04-13</t>
  </si>
  <si>
    <t>2024-05-10</t>
  </si>
  <si>
    <t>2024-06-10</t>
  </si>
  <si>
    <t>2024-07-02</t>
  </si>
  <si>
    <t>2024-08-16</t>
  </si>
  <si>
    <t>2024-09-28</t>
  </si>
  <si>
    <t>2024-10-22</t>
  </si>
  <si>
    <t>2024-11-08</t>
  </si>
  <si>
    <t>2024-12-19</t>
  </si>
  <si>
    <t>2024-01-08</t>
  </si>
  <si>
    <t>2024-02-15</t>
  </si>
  <si>
    <t>2024-03-20</t>
  </si>
  <si>
    <t>2024-04-17</t>
  </si>
  <si>
    <t>2024-05-08</t>
  </si>
  <si>
    <t>2024-07-22</t>
  </si>
  <si>
    <t>2024-08-04</t>
  </si>
  <si>
    <t>2024-09-07</t>
  </si>
  <si>
    <t>2024-10-16</t>
  </si>
  <si>
    <t>2024-12-25</t>
  </si>
  <si>
    <t>2024-01-18</t>
  </si>
  <si>
    <t>2024-02-23</t>
  </si>
  <si>
    <t>2024-03-18</t>
  </si>
  <si>
    <t>2024-04-10</t>
  </si>
  <si>
    <t>2024-05-22</t>
  </si>
  <si>
    <t>2024-06-28</t>
  </si>
  <si>
    <t>2024-08-24</t>
  </si>
  <si>
    <t>2024-09-06</t>
  </si>
  <si>
    <t>2024-10-08</t>
  </si>
  <si>
    <t>2024-12-13</t>
  </si>
  <si>
    <t>2024-01-12</t>
  </si>
  <si>
    <t>2024-02-09</t>
  </si>
  <si>
    <t>2024-04-20</t>
  </si>
  <si>
    <t>2024-06-26</t>
  </si>
  <si>
    <t>Синим — введено руками. Зелёным — формула со ссылкой на лист «Справочник_товаров» (ИНДЕКС+ПОИСКПОЗ, урок 3.2). Чёрным — обычная формула («Сумма» = «Цена» × «Кол-во»).</t>
  </si>
  <si>
    <t>Задание 1. Сводная таблица «регионы × категории»</t>
  </si>
  <si>
    <t>Постройте здесь сводную таблицу по листу «Данные_продажи»: строки — Регион, столбцы — Категория, значения — сумма по полю «Сумма, ₽» (Вставка → Сводная таблица → диапазон Данные_продажи!A1:I91).</t>
  </si>
  <si>
    <t>Ваша сводная таблица</t>
  </si>
  <si>
    <t>Регион \ Категория</t>
  </si>
  <si>
    <t>Готовая SUMIFS-таблица (для сверки)</t>
  </si>
  <si>
    <t>Числа в вашей сводной должны совпасть с готовой SUMIFS-таблицей выше. Если нет — где-то в сводной перепутаны поля строк/столбцов/значений.</t>
  </si>
  <si>
    <t>Задание 2. Графики</t>
  </si>
  <si>
    <t>Выручка по регионам (готово)</t>
  </si>
  <si>
    <t>Выручка, ₽</t>
  </si>
  <si>
    <t>Выручка по месяцам (данные готовы — постройте график)</t>
  </si>
  <si>
    <t>← сюда вставьте график</t>
  </si>
  <si>
    <t>Месяц</t>
  </si>
  <si>
    <t>Янв</t>
  </si>
  <si>
    <t>Фев</t>
  </si>
  <si>
    <t>Мар</t>
  </si>
  <si>
    <t>Апр</t>
  </si>
  <si>
    <t>Май</t>
  </si>
  <si>
    <t>Июн</t>
  </si>
  <si>
    <t>Июл</t>
  </si>
  <si>
    <t>Авг</t>
  </si>
  <si>
    <t>Сен</t>
  </si>
  <si>
    <t>Окт</t>
  </si>
  <si>
    <t>Ноя</t>
  </si>
  <si>
    <t>Дек</t>
  </si>
  <si>
    <t>Постройте здесь график «Выручка по месяцам» (Вставка → Диаграмма) по таблице выше — по образцу готового графика «Выручка по регионам».</t>
  </si>
  <si>
    <t>Статус заказа</t>
  </si>
  <si>
    <t>Жёлтым — впишите формулу сами. Цена: ИНДЕКС+ПОИСКПОЗ или ВПР по листу «Справочник_товаров». Сумма = Цена × Кол-во. Статус: «Крупный», если Сумма &gt; 50 000 ₽; «Средний», если Сумма &gt; 10 000 ₽; иначе «Малый» (вложенный ЕСЛИ, урок 3.3).</t>
  </si>
  <si>
    <t>Первая строка — образец с готовой формулой.</t>
  </si>
  <si>
    <t>Лист-ответ для самопроверки: формулы уже посчитаны.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</si>
</sst>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000FF"/>
      <name val="Calibri"/>
    </font>
    <font>
      <i/>
      <sz val="10"/>
      <color rgb="FF808080"/>
      <name val="Calibri"/>
    </font>
    <font>
      <sz val="11"/>
      <color rgb="FF008000"/>
      <name val="Calibri"/>
    </font>
    <font>
      <sz val="11"/>
      <color rgb="FF000000"/>
      <name val="Calibri"/>
    </font>
    <font>
      <b/>
      <sz val="13"/>
      <name val="Calibri"/>
    </font>
    <font>
      <b/>
      <sz val="11"/>
      <name val="Calibri"/>
    </font>
    <font>
      <b/>
      <sz val="16"/>
      <color rgb="FF1F7A3D"/>
      <name val="Calibri"/>
    </font>
    <font>
      <sz val="12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7A3D"/>
      </patternFill>
    </fill>
    <fill>
      <patternFill patternType="solid">
        <fgColor rgb="FFFFFFCC"/>
      </patternFill>
    </fill>
    <fill>
      <patternFill patternType="solid">
        <fgColor rgb="FFE9F7E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8" fillId="0" borderId="0" xfId="0" applyFont="1"/>
    <xf numFmtId="0" fontId="9" fillId="0" borderId="0" xfId="0" applyFont="1"/>
    <xf numFmtId="0" fontId="7" fillId="0" borderId="0" xfId="0" applyFont="1"/>
    <xf numFmtId="0" fontId="10" fillId="0" borderId="0" xfId="0" applyFont="1"/>
    <xf numFmtId="0" fontId="2" fillId="0" borderId="0" xfId="0" applyFont="1"/>
    <xf numFmtId="0" fontId="5" fillId="0" borderId="0" xfId="0" applyFont="1"/>
    <xf numFmtId="0" fontId="4" fillId="0" borderId="0" xfId="0" applyFont="1"/>
    <xf numFmtId="0" fontId="0" fillId="3" borderId="0" xfId="0" applyFill="1"/>
    <xf numFmtId="0" fontId="1" fillId="2" borderId="0" xfId="0" applyFont="1" applyFill="1"/>
    <xf numFmtId="3" fontId="2" fillId="0" borderId="0" xfId="0" applyNumberFormat="1" applyFont="1"/>
    <xf numFmtId="0" fontId="3" fillId="0" borderId="0" xfId="0" applyFont="1"/>
    <xf numFmtId="3" fontId="4" fillId="0" borderId="0" xfId="0" applyNumberFormat="1" applyFont="1"/>
    <xf numFmtId="3" fontId="5" fillId="0" borderId="0" xfId="0" applyNumberFormat="1" applyFont="1"/>
    <xf numFmtId="0" fontId="0" fillId="3" borderId="1" xfId="0" applyFill="1" applyBorder="1"/>
    <xf numFmtId="3" fontId="4" fillId="0" borderId="1" xfId="0" applyNumberFormat="1" applyFont="1" applyBorder="1"/>
    <xf numFmtId="3" fontId="4" fillId="4" borderId="1" xfId="0" applyNumberFormat="1" applyFont="1" applyFill="1" applyBorder="1"/>
    <xf numFmtId="3" fontId="5" fillId="4" borderId="1" xfId="0" applyNumberFormat="1" applyFont="1" applyFill="1" applyBorder="1"/>
    <xf numFmtId="0" fontId="5" fillId="4" borderId="1" xfId="0" applyFont="1" applyFill="1" applyBorder="1"/>
    <xf numFmtId="3" fontId="5" fillId="0" borderId="1" xfId="0" applyNumberFormat="1" applyFont="1" applyBorder="1"/>
    <xf numFmtId="0" fontId="5" fillId="0" borderId="1" xfId="0" applyFont="1" applyBorder="1"/>
    <xf numFmtId="0" fontId="3" fillId="0" borderId="0" xfId="0" applyFont="1"/>
    <xf numFmtId="0" fontId="0" fillId="0" borderId="0" xfId="0"/>
    <xf numFmtId="0" fontId="6" fillId="0" borderId="0" xfId="0" applyFont="1"/>
    <xf numFmtId="0" fontId="3" fillId="0" borderId="0" xfId="0" applyFont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>
              <a:defRPr/>
            </a:pPr>
            <a:r>
              <a:t>Выручка по регионам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'Задание 2. Дашборд'!$B$4</c:f>
              <c:strCache>
                <c:ptCount val="1"/>
                <c:pt idx="0">
                  <c:v>Выручка, ₽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'Задание 2. Дашборд'!$A$5:$A$8</c:f>
              <c:strCache>
                <c:ptCount val="4"/>
                <c:pt idx="0">
                  <c:v>Москва</c:v>
                </c:pt>
                <c:pt idx="1">
                  <c:v>Санкт-Петербург</c:v>
                </c:pt>
                <c:pt idx="2">
                  <c:v>Новосибирск</c:v>
                </c:pt>
                <c:pt idx="3">
                  <c:v>Казань</c:v>
                </c:pt>
              </c:strCache>
            </c:strRef>
          </c:cat>
          <c:val>
            <c:numRef>
              <c:f>'Задание 2. Дашборд'!$B$5:$B$8</c:f>
              <c:numCache>
                <c:formatCode>#,##0</c:formatCode>
                <c:ptCount val="4"/>
                <c:pt idx="0">
                  <c:v>1022520</c:v>
                </c:pt>
                <c:pt idx="1">
                  <c:v>1867730</c:v>
                </c:pt>
                <c:pt idx="2">
                  <c:v>2333770</c:v>
                </c:pt>
                <c:pt idx="3">
                  <c:v>1141980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29-4813-8889-F4BB5AB4DC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Регион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₽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2</xdr:row>
      <xdr:rowOff>0</xdr:rowOff>
    </xdr:from>
    <xdr:ext cx="432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tabSelected="1" workbookViewId="0"/>
  </sheetViews>
  <sheetFormatPr defaultRowHeight="15" x14ac:dyDescent="0.25"/>
  <cols>
    <col min="1" max="1" width="22" customWidth="1"/>
    <col min="2" max="2" width="70" customWidth="1"/>
  </cols>
  <sheetData>
    <row r="1" spans="1:2" ht="21" x14ac:dyDescent="0.35">
      <c r="A1" s="1" t="s">
        <v>0</v>
      </c>
    </row>
    <row r="3" spans="1:2" ht="15.75" x14ac:dyDescent="0.25">
      <c r="A3" s="2" t="s">
        <v>1</v>
      </c>
    </row>
    <row r="5" spans="1:2" x14ac:dyDescent="0.25">
      <c r="A5" s="3" t="s">
        <v>2</v>
      </c>
    </row>
    <row r="6" spans="1:2" x14ac:dyDescent="0.25">
      <c r="A6" s="3" t="s">
        <v>3</v>
      </c>
      <c r="B6" s="4" t="s">
        <v>4</v>
      </c>
    </row>
    <row r="7" spans="1:2" x14ac:dyDescent="0.25">
      <c r="A7" s="3" t="s">
        <v>5</v>
      </c>
      <c r="B7" s="4" t="s">
        <v>6</v>
      </c>
    </row>
    <row r="8" spans="1:2" x14ac:dyDescent="0.25">
      <c r="A8" s="3" t="s">
        <v>7</v>
      </c>
      <c r="B8" s="4" t="s">
        <v>8</v>
      </c>
    </row>
    <row r="9" spans="1:2" x14ac:dyDescent="0.25">
      <c r="A9" s="3" t="s">
        <v>9</v>
      </c>
      <c r="B9" s="4" t="s">
        <v>10</v>
      </c>
    </row>
    <row r="10" spans="1:2" x14ac:dyDescent="0.25">
      <c r="A10" s="3" t="s">
        <v>11</v>
      </c>
      <c r="B10" s="4" t="s">
        <v>12</v>
      </c>
    </row>
    <row r="11" spans="1:2" x14ac:dyDescent="0.25">
      <c r="A11" s="3" t="s">
        <v>13</v>
      </c>
      <c r="B11" s="4" t="s">
        <v>14</v>
      </c>
    </row>
    <row r="13" spans="1:2" x14ac:dyDescent="0.25">
      <c r="A13" s="3" t="s">
        <v>15</v>
      </c>
    </row>
    <row r="14" spans="1:2" x14ac:dyDescent="0.25">
      <c r="A14" s="5" t="s">
        <v>16</v>
      </c>
    </row>
    <row r="15" spans="1:2" x14ac:dyDescent="0.25">
      <c r="A15" s="6" t="s">
        <v>17</v>
      </c>
    </row>
    <row r="16" spans="1:2" x14ac:dyDescent="0.25">
      <c r="A16" s="7" t="s">
        <v>18</v>
      </c>
    </row>
    <row r="17" spans="1:1" x14ac:dyDescent="0.25">
      <c r="A17" s="8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workbookViewId="0"/>
  </sheetViews>
  <sheetFormatPr defaultRowHeight="15" x14ac:dyDescent="0.25"/>
  <cols>
    <col min="1" max="1" width="12" customWidth="1"/>
    <col min="2" max="2" width="16" customWidth="1"/>
    <col min="3" max="3" width="12" customWidth="1"/>
  </cols>
  <sheetData>
    <row r="1" spans="1:3" x14ac:dyDescent="0.25">
      <c r="A1" s="9" t="s">
        <v>20</v>
      </c>
      <c r="B1" s="9" t="s">
        <v>21</v>
      </c>
      <c r="C1" s="9" t="s">
        <v>22</v>
      </c>
    </row>
    <row r="2" spans="1:3" x14ac:dyDescent="0.25">
      <c r="A2" s="5" t="s">
        <v>23</v>
      </c>
      <c r="B2" s="5" t="s">
        <v>24</v>
      </c>
      <c r="C2" s="10">
        <v>42990</v>
      </c>
    </row>
    <row r="3" spans="1:3" x14ac:dyDescent="0.25">
      <c r="A3" s="5" t="s">
        <v>25</v>
      </c>
      <c r="B3" s="5" t="s">
        <v>24</v>
      </c>
      <c r="C3" s="10">
        <v>68990</v>
      </c>
    </row>
    <row r="4" spans="1:3" x14ac:dyDescent="0.25">
      <c r="A4" s="5" t="s">
        <v>26</v>
      </c>
      <c r="B4" s="5" t="s">
        <v>24</v>
      </c>
      <c r="C4" s="10">
        <v>89990</v>
      </c>
    </row>
    <row r="5" spans="1:3" x14ac:dyDescent="0.25">
      <c r="A5" s="5" t="s">
        <v>27</v>
      </c>
      <c r="B5" s="5" t="s">
        <v>28</v>
      </c>
      <c r="C5" s="10">
        <v>15990</v>
      </c>
    </row>
    <row r="6" spans="1:3" x14ac:dyDescent="0.25">
      <c r="A6" s="5" t="s">
        <v>29</v>
      </c>
      <c r="B6" s="5" t="s">
        <v>28</v>
      </c>
      <c r="C6" s="10">
        <v>9990</v>
      </c>
    </row>
    <row r="7" spans="1:3" x14ac:dyDescent="0.25">
      <c r="A7" s="5" t="s">
        <v>30</v>
      </c>
      <c r="B7" s="5" t="s">
        <v>28</v>
      </c>
      <c r="C7" s="10">
        <v>3490</v>
      </c>
    </row>
    <row r="8" spans="1:3" x14ac:dyDescent="0.25">
      <c r="A8" s="5" t="s">
        <v>31</v>
      </c>
      <c r="B8" s="5" t="s">
        <v>32</v>
      </c>
      <c r="C8" s="10">
        <v>12990</v>
      </c>
    </row>
    <row r="9" spans="1:3" x14ac:dyDescent="0.25">
      <c r="A9" s="5" t="s">
        <v>33</v>
      </c>
      <c r="B9" s="5" t="s">
        <v>32</v>
      </c>
      <c r="C9" s="10">
        <v>24990</v>
      </c>
    </row>
    <row r="10" spans="1:3" x14ac:dyDescent="0.25">
      <c r="A10" s="5" t="s">
        <v>34</v>
      </c>
      <c r="B10" s="5" t="s">
        <v>35</v>
      </c>
      <c r="C10" s="10">
        <v>2990</v>
      </c>
    </row>
    <row r="11" spans="1:3" x14ac:dyDescent="0.25">
      <c r="A11" s="5" t="s">
        <v>36</v>
      </c>
      <c r="B11" s="5" t="s">
        <v>35</v>
      </c>
      <c r="C11" s="10">
        <v>1490</v>
      </c>
    </row>
    <row r="13" spans="1:3" x14ac:dyDescent="0.25">
      <c r="A13" s="11" t="s">
        <v>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12" customWidth="1"/>
    <col min="3" max="3" width="16" customWidth="1"/>
    <col min="4" max="4" width="12" customWidth="1"/>
    <col min="5" max="5" width="11" customWidth="1"/>
    <col min="6" max="6" width="15" customWidth="1"/>
    <col min="7" max="7" width="10" customWidth="1"/>
    <col min="8" max="8" width="8" customWidth="1"/>
    <col min="9" max="9" width="11" customWidth="1"/>
  </cols>
  <sheetData>
    <row r="1" spans="1:9" x14ac:dyDescent="0.25">
      <c r="A1" s="9" t="s">
        <v>38</v>
      </c>
      <c r="B1" s="9" t="s">
        <v>39</v>
      </c>
      <c r="C1" s="9" t="s">
        <v>40</v>
      </c>
      <c r="D1" s="9" t="s">
        <v>41</v>
      </c>
      <c r="E1" s="9" t="s">
        <v>20</v>
      </c>
      <c r="F1" s="9" t="s">
        <v>21</v>
      </c>
      <c r="G1" s="9" t="s">
        <v>22</v>
      </c>
      <c r="H1" s="9" t="s">
        <v>42</v>
      </c>
      <c r="I1" s="9" t="s">
        <v>43</v>
      </c>
    </row>
    <row r="2" spans="1:9" x14ac:dyDescent="0.25">
      <c r="A2" s="5">
        <v>1000</v>
      </c>
      <c r="B2" s="5" t="s">
        <v>44</v>
      </c>
      <c r="C2" s="5" t="s">
        <v>45</v>
      </c>
      <c r="D2" s="5" t="s">
        <v>46</v>
      </c>
      <c r="E2" s="5" t="s">
        <v>29</v>
      </c>
      <c r="F2" s="7" t="str">
        <f>INDEX(Справочник_товаров!$B$2:$B$11,MATCH(E2,Справочник_товаров!$A$2:$A$11,0))</f>
        <v>Бытовая техника</v>
      </c>
      <c r="G2" s="12">
        <f>INDEX(Справочник_товаров!$C$2:$C$11,MATCH(E2,Справочник_товаров!$A$2:$A$11,0))</f>
        <v>9990</v>
      </c>
      <c r="H2" s="5">
        <v>2</v>
      </c>
      <c r="I2" s="13">
        <f t="shared" ref="I2:I33" si="0">G2*H2</f>
        <v>19980</v>
      </c>
    </row>
    <row r="3" spans="1:9" x14ac:dyDescent="0.25">
      <c r="A3" s="5">
        <v>1001</v>
      </c>
      <c r="B3" s="5" t="s">
        <v>47</v>
      </c>
      <c r="C3" s="5" t="s">
        <v>48</v>
      </c>
      <c r="D3" s="5" t="s">
        <v>46</v>
      </c>
      <c r="E3" s="5" t="s">
        <v>34</v>
      </c>
      <c r="F3" s="7" t="str">
        <f>INDEX(Справочник_товаров!$B$2:$B$11,MATCH(E3,Справочник_товаров!$A$2:$A$11,0))</f>
        <v>Аксессуары</v>
      </c>
      <c r="G3" s="12">
        <f>INDEX(Справочник_товаров!$C$2:$C$11,MATCH(E3,Справочник_товаров!$A$2:$A$11,0))</f>
        <v>2990</v>
      </c>
      <c r="H3" s="5">
        <v>1</v>
      </c>
      <c r="I3" s="13">
        <f t="shared" si="0"/>
        <v>2990</v>
      </c>
    </row>
    <row r="4" spans="1:9" x14ac:dyDescent="0.25">
      <c r="A4" s="5">
        <v>1002</v>
      </c>
      <c r="B4" s="5" t="s">
        <v>49</v>
      </c>
      <c r="C4" s="5" t="s">
        <v>50</v>
      </c>
      <c r="D4" s="5" t="s">
        <v>46</v>
      </c>
      <c r="E4" s="5" t="s">
        <v>23</v>
      </c>
      <c r="F4" s="7" t="str">
        <f>INDEX(Справочник_товаров!$B$2:$B$11,MATCH(E4,Справочник_товаров!$A$2:$A$11,0))</f>
        <v>Электроника</v>
      </c>
      <c r="G4" s="12">
        <f>INDEX(Справочник_товаров!$C$2:$C$11,MATCH(E4,Справочник_товаров!$A$2:$A$11,0))</f>
        <v>42990</v>
      </c>
      <c r="H4" s="5">
        <v>1</v>
      </c>
      <c r="I4" s="13">
        <f t="shared" si="0"/>
        <v>42990</v>
      </c>
    </row>
    <row r="5" spans="1:9" x14ac:dyDescent="0.25">
      <c r="A5" s="5">
        <v>1003</v>
      </c>
      <c r="B5" s="5" t="s">
        <v>51</v>
      </c>
      <c r="C5" s="5" t="s">
        <v>48</v>
      </c>
      <c r="D5" s="5" t="s">
        <v>46</v>
      </c>
      <c r="E5" s="5" t="s">
        <v>34</v>
      </c>
      <c r="F5" s="7" t="str">
        <f>INDEX(Справочник_товаров!$B$2:$B$11,MATCH(E5,Справочник_товаров!$A$2:$A$11,0))</f>
        <v>Аксессуары</v>
      </c>
      <c r="G5" s="12">
        <f>INDEX(Справочник_товаров!$C$2:$C$11,MATCH(E5,Справочник_товаров!$A$2:$A$11,0))</f>
        <v>2990</v>
      </c>
      <c r="H5" s="5">
        <v>2</v>
      </c>
      <c r="I5" s="13">
        <f t="shared" si="0"/>
        <v>5980</v>
      </c>
    </row>
    <row r="6" spans="1:9" x14ac:dyDescent="0.25">
      <c r="A6" s="5">
        <v>1004</v>
      </c>
      <c r="B6" s="5" t="s">
        <v>52</v>
      </c>
      <c r="C6" s="5" t="s">
        <v>50</v>
      </c>
      <c r="D6" s="5" t="s">
        <v>53</v>
      </c>
      <c r="E6" s="5" t="s">
        <v>33</v>
      </c>
      <c r="F6" s="7" t="str">
        <f>INDEX(Справочник_товаров!$B$2:$B$11,MATCH(E6,Справочник_товаров!$A$2:$A$11,0))</f>
        <v>Мебель</v>
      </c>
      <c r="G6" s="12">
        <f>INDEX(Справочник_товаров!$C$2:$C$11,MATCH(E6,Справочник_товаров!$A$2:$A$11,0))</f>
        <v>24990</v>
      </c>
      <c r="H6" s="5">
        <v>5</v>
      </c>
      <c r="I6" s="13">
        <f t="shared" si="0"/>
        <v>124950</v>
      </c>
    </row>
    <row r="7" spans="1:9" x14ac:dyDescent="0.25">
      <c r="A7" s="5">
        <v>1005</v>
      </c>
      <c r="B7" s="5" t="s">
        <v>54</v>
      </c>
      <c r="C7" s="5" t="s">
        <v>45</v>
      </c>
      <c r="D7" s="5" t="s">
        <v>53</v>
      </c>
      <c r="E7" s="5" t="s">
        <v>31</v>
      </c>
      <c r="F7" s="7" t="str">
        <f>INDEX(Справочник_товаров!$B$2:$B$11,MATCH(E7,Справочник_товаров!$A$2:$A$11,0))</f>
        <v>Мебель</v>
      </c>
      <c r="G7" s="12">
        <f>INDEX(Справочник_товаров!$C$2:$C$11,MATCH(E7,Справочник_товаров!$A$2:$A$11,0))</f>
        <v>12990</v>
      </c>
      <c r="H7" s="5">
        <v>3</v>
      </c>
      <c r="I7" s="13">
        <f t="shared" si="0"/>
        <v>38970</v>
      </c>
    </row>
    <row r="8" spans="1:9" x14ac:dyDescent="0.25">
      <c r="A8" s="5">
        <v>1006</v>
      </c>
      <c r="B8" s="5" t="s">
        <v>55</v>
      </c>
      <c r="C8" s="5" t="s">
        <v>48</v>
      </c>
      <c r="D8" s="5" t="s">
        <v>53</v>
      </c>
      <c r="E8" s="5" t="s">
        <v>30</v>
      </c>
      <c r="F8" s="7" t="str">
        <f>INDEX(Справочник_товаров!$B$2:$B$11,MATCH(E8,Справочник_товаров!$A$2:$A$11,0))</f>
        <v>Бытовая техника</v>
      </c>
      <c r="G8" s="12">
        <f>INDEX(Справочник_товаров!$C$2:$C$11,MATCH(E8,Справочник_товаров!$A$2:$A$11,0))</f>
        <v>3490</v>
      </c>
      <c r="H8" s="5">
        <v>1</v>
      </c>
      <c r="I8" s="13">
        <f t="shared" si="0"/>
        <v>3490</v>
      </c>
    </row>
    <row r="9" spans="1:9" x14ac:dyDescent="0.25">
      <c r="A9" s="5">
        <v>1007</v>
      </c>
      <c r="B9" s="5" t="s">
        <v>56</v>
      </c>
      <c r="C9" s="5" t="s">
        <v>50</v>
      </c>
      <c r="D9" s="5" t="s">
        <v>46</v>
      </c>
      <c r="E9" s="5" t="s">
        <v>30</v>
      </c>
      <c r="F9" s="7" t="str">
        <f>INDEX(Справочник_товаров!$B$2:$B$11,MATCH(E9,Справочник_товаров!$A$2:$A$11,0))</f>
        <v>Бытовая техника</v>
      </c>
      <c r="G9" s="12">
        <f>INDEX(Справочник_товаров!$C$2:$C$11,MATCH(E9,Справочник_товаров!$A$2:$A$11,0))</f>
        <v>3490</v>
      </c>
      <c r="H9" s="5">
        <v>3</v>
      </c>
      <c r="I9" s="13">
        <f t="shared" si="0"/>
        <v>10470</v>
      </c>
    </row>
    <row r="10" spans="1:9" x14ac:dyDescent="0.25">
      <c r="A10" s="5">
        <v>1008</v>
      </c>
      <c r="B10" s="5" t="s">
        <v>57</v>
      </c>
      <c r="C10" s="5" t="s">
        <v>58</v>
      </c>
      <c r="D10" s="5" t="s">
        <v>46</v>
      </c>
      <c r="E10" s="5" t="s">
        <v>33</v>
      </c>
      <c r="F10" s="7" t="str">
        <f>INDEX(Справочник_товаров!$B$2:$B$11,MATCH(E10,Справочник_товаров!$A$2:$A$11,0))</f>
        <v>Мебель</v>
      </c>
      <c r="G10" s="12">
        <f>INDEX(Справочник_товаров!$C$2:$C$11,MATCH(E10,Справочник_товаров!$A$2:$A$11,0))</f>
        <v>24990</v>
      </c>
      <c r="H10" s="5">
        <v>5</v>
      </c>
      <c r="I10" s="13">
        <f t="shared" si="0"/>
        <v>124950</v>
      </c>
    </row>
    <row r="11" spans="1:9" x14ac:dyDescent="0.25">
      <c r="A11" s="5">
        <v>1009</v>
      </c>
      <c r="B11" s="5" t="s">
        <v>59</v>
      </c>
      <c r="C11" s="5" t="s">
        <v>50</v>
      </c>
      <c r="D11" s="5" t="s">
        <v>46</v>
      </c>
      <c r="E11" s="5" t="s">
        <v>34</v>
      </c>
      <c r="F11" s="7" t="str">
        <f>INDEX(Справочник_товаров!$B$2:$B$11,MATCH(E11,Справочник_товаров!$A$2:$A$11,0))</f>
        <v>Аксессуары</v>
      </c>
      <c r="G11" s="12">
        <f>INDEX(Справочник_товаров!$C$2:$C$11,MATCH(E11,Справочник_товаров!$A$2:$A$11,0))</f>
        <v>2990</v>
      </c>
      <c r="H11" s="5">
        <v>3</v>
      </c>
      <c r="I11" s="13">
        <f t="shared" si="0"/>
        <v>8970</v>
      </c>
    </row>
    <row r="12" spans="1:9" x14ac:dyDescent="0.25">
      <c r="A12" s="5">
        <v>1010</v>
      </c>
      <c r="B12" s="5" t="s">
        <v>60</v>
      </c>
      <c r="C12" s="5" t="s">
        <v>58</v>
      </c>
      <c r="D12" s="5" t="s">
        <v>53</v>
      </c>
      <c r="E12" s="5" t="s">
        <v>25</v>
      </c>
      <c r="F12" s="7" t="str">
        <f>INDEX(Справочник_товаров!$B$2:$B$11,MATCH(E12,Справочник_товаров!$A$2:$A$11,0))</f>
        <v>Электроника</v>
      </c>
      <c r="G12" s="12">
        <f>INDEX(Справочник_товаров!$C$2:$C$11,MATCH(E12,Справочник_товаров!$A$2:$A$11,0))</f>
        <v>68990</v>
      </c>
      <c r="H12" s="5">
        <v>1</v>
      </c>
      <c r="I12" s="13">
        <f t="shared" si="0"/>
        <v>68990</v>
      </c>
    </row>
    <row r="13" spans="1:9" x14ac:dyDescent="0.25">
      <c r="A13" s="5">
        <v>1011</v>
      </c>
      <c r="B13" s="5" t="s">
        <v>61</v>
      </c>
      <c r="C13" s="5" t="s">
        <v>48</v>
      </c>
      <c r="D13" s="5" t="s">
        <v>62</v>
      </c>
      <c r="E13" s="5" t="s">
        <v>25</v>
      </c>
      <c r="F13" s="7" t="str">
        <f>INDEX(Справочник_товаров!$B$2:$B$11,MATCH(E13,Справочник_товаров!$A$2:$A$11,0))</f>
        <v>Электроника</v>
      </c>
      <c r="G13" s="12">
        <f>INDEX(Справочник_товаров!$C$2:$C$11,MATCH(E13,Справочник_товаров!$A$2:$A$11,0))</f>
        <v>68990</v>
      </c>
      <c r="H13" s="5">
        <v>2</v>
      </c>
      <c r="I13" s="13">
        <f t="shared" si="0"/>
        <v>137980</v>
      </c>
    </row>
    <row r="14" spans="1:9" x14ac:dyDescent="0.25">
      <c r="A14" s="5">
        <v>1012</v>
      </c>
      <c r="B14" s="5" t="s">
        <v>63</v>
      </c>
      <c r="C14" s="5" t="s">
        <v>45</v>
      </c>
      <c r="D14" s="5" t="s">
        <v>64</v>
      </c>
      <c r="E14" s="5" t="s">
        <v>29</v>
      </c>
      <c r="F14" s="7" t="str">
        <f>INDEX(Справочник_товаров!$B$2:$B$11,MATCH(E14,Справочник_товаров!$A$2:$A$11,0))</f>
        <v>Бытовая техника</v>
      </c>
      <c r="G14" s="12">
        <f>INDEX(Справочник_товаров!$C$2:$C$11,MATCH(E14,Справочник_товаров!$A$2:$A$11,0))</f>
        <v>9990</v>
      </c>
      <c r="H14" s="5">
        <v>4</v>
      </c>
      <c r="I14" s="13">
        <f t="shared" si="0"/>
        <v>39960</v>
      </c>
    </row>
    <row r="15" spans="1:9" x14ac:dyDescent="0.25">
      <c r="A15" s="5">
        <v>1013</v>
      </c>
      <c r="B15" s="5" t="s">
        <v>65</v>
      </c>
      <c r="C15" s="5" t="s">
        <v>58</v>
      </c>
      <c r="D15" s="5" t="s">
        <v>53</v>
      </c>
      <c r="E15" s="5" t="s">
        <v>30</v>
      </c>
      <c r="F15" s="7" t="str">
        <f>INDEX(Справочник_товаров!$B$2:$B$11,MATCH(E15,Справочник_товаров!$A$2:$A$11,0))</f>
        <v>Бытовая техника</v>
      </c>
      <c r="G15" s="12">
        <f>INDEX(Справочник_товаров!$C$2:$C$11,MATCH(E15,Справочник_товаров!$A$2:$A$11,0))</f>
        <v>3490</v>
      </c>
      <c r="H15" s="5">
        <v>3</v>
      </c>
      <c r="I15" s="13">
        <f t="shared" si="0"/>
        <v>10470</v>
      </c>
    </row>
    <row r="16" spans="1:9" x14ac:dyDescent="0.25">
      <c r="A16" s="5">
        <v>1014</v>
      </c>
      <c r="B16" s="5" t="s">
        <v>66</v>
      </c>
      <c r="C16" s="5" t="s">
        <v>58</v>
      </c>
      <c r="D16" s="5" t="s">
        <v>46</v>
      </c>
      <c r="E16" s="5" t="s">
        <v>36</v>
      </c>
      <c r="F16" s="7" t="str">
        <f>INDEX(Справочник_товаров!$B$2:$B$11,MATCH(E16,Справочник_товаров!$A$2:$A$11,0))</f>
        <v>Аксессуары</v>
      </c>
      <c r="G16" s="12">
        <f>INDEX(Справочник_товаров!$C$2:$C$11,MATCH(E16,Справочник_товаров!$A$2:$A$11,0))</f>
        <v>1490</v>
      </c>
      <c r="H16" s="5">
        <v>2</v>
      </c>
      <c r="I16" s="13">
        <f t="shared" si="0"/>
        <v>2980</v>
      </c>
    </row>
    <row r="17" spans="1:9" x14ac:dyDescent="0.25">
      <c r="A17" s="5">
        <v>1015</v>
      </c>
      <c r="B17" s="5" t="s">
        <v>67</v>
      </c>
      <c r="C17" s="5" t="s">
        <v>48</v>
      </c>
      <c r="D17" s="5" t="s">
        <v>53</v>
      </c>
      <c r="E17" s="5" t="s">
        <v>33</v>
      </c>
      <c r="F17" s="7" t="str">
        <f>INDEX(Справочник_товаров!$B$2:$B$11,MATCH(E17,Справочник_товаров!$A$2:$A$11,0))</f>
        <v>Мебель</v>
      </c>
      <c r="G17" s="12">
        <f>INDEX(Справочник_товаров!$C$2:$C$11,MATCH(E17,Справочник_товаров!$A$2:$A$11,0))</f>
        <v>24990</v>
      </c>
      <c r="H17" s="5">
        <v>4</v>
      </c>
      <c r="I17" s="13">
        <f t="shared" si="0"/>
        <v>99960</v>
      </c>
    </row>
    <row r="18" spans="1:9" x14ac:dyDescent="0.25">
      <c r="A18" s="5">
        <v>1016</v>
      </c>
      <c r="B18" s="5" t="s">
        <v>68</v>
      </c>
      <c r="C18" s="5" t="s">
        <v>48</v>
      </c>
      <c r="D18" s="5" t="s">
        <v>62</v>
      </c>
      <c r="E18" s="5" t="s">
        <v>23</v>
      </c>
      <c r="F18" s="7" t="str">
        <f>INDEX(Справочник_товаров!$B$2:$B$11,MATCH(E18,Справочник_товаров!$A$2:$A$11,0))</f>
        <v>Электроника</v>
      </c>
      <c r="G18" s="12">
        <f>INDEX(Справочник_товаров!$C$2:$C$11,MATCH(E18,Справочник_товаров!$A$2:$A$11,0))</f>
        <v>42990</v>
      </c>
      <c r="H18" s="5">
        <v>2</v>
      </c>
      <c r="I18" s="13">
        <f t="shared" si="0"/>
        <v>85980</v>
      </c>
    </row>
    <row r="19" spans="1:9" x14ac:dyDescent="0.25">
      <c r="A19" s="5">
        <v>1017</v>
      </c>
      <c r="B19" s="5" t="s">
        <v>69</v>
      </c>
      <c r="C19" s="5" t="s">
        <v>45</v>
      </c>
      <c r="D19" s="5" t="s">
        <v>62</v>
      </c>
      <c r="E19" s="5" t="s">
        <v>31</v>
      </c>
      <c r="F19" s="7" t="str">
        <f>INDEX(Справочник_товаров!$B$2:$B$11,MATCH(E19,Справочник_товаров!$A$2:$A$11,0))</f>
        <v>Мебель</v>
      </c>
      <c r="G19" s="12">
        <f>INDEX(Справочник_товаров!$C$2:$C$11,MATCH(E19,Справочник_товаров!$A$2:$A$11,0))</f>
        <v>12990</v>
      </c>
      <c r="H19" s="5">
        <v>3</v>
      </c>
      <c r="I19" s="13">
        <f t="shared" si="0"/>
        <v>38970</v>
      </c>
    </row>
    <row r="20" spans="1:9" x14ac:dyDescent="0.25">
      <c r="A20" s="5">
        <v>1018</v>
      </c>
      <c r="B20" s="5" t="s">
        <v>70</v>
      </c>
      <c r="C20" s="5" t="s">
        <v>48</v>
      </c>
      <c r="D20" s="5" t="s">
        <v>62</v>
      </c>
      <c r="E20" s="5" t="s">
        <v>27</v>
      </c>
      <c r="F20" s="7" t="str">
        <f>INDEX(Справочник_товаров!$B$2:$B$11,MATCH(E20,Справочник_товаров!$A$2:$A$11,0))</f>
        <v>Бытовая техника</v>
      </c>
      <c r="G20" s="12">
        <f>INDEX(Справочник_товаров!$C$2:$C$11,MATCH(E20,Справочник_товаров!$A$2:$A$11,0))</f>
        <v>15990</v>
      </c>
      <c r="H20" s="5">
        <v>4</v>
      </c>
      <c r="I20" s="13">
        <f t="shared" si="0"/>
        <v>63960</v>
      </c>
    </row>
    <row r="21" spans="1:9" x14ac:dyDescent="0.25">
      <c r="A21" s="5">
        <v>1019</v>
      </c>
      <c r="B21" s="5" t="s">
        <v>71</v>
      </c>
      <c r="C21" s="5" t="s">
        <v>50</v>
      </c>
      <c r="D21" s="5" t="s">
        <v>53</v>
      </c>
      <c r="E21" s="5" t="s">
        <v>29</v>
      </c>
      <c r="F21" s="7" t="str">
        <f>INDEX(Справочник_товаров!$B$2:$B$11,MATCH(E21,Справочник_товаров!$A$2:$A$11,0))</f>
        <v>Бытовая техника</v>
      </c>
      <c r="G21" s="12">
        <f>INDEX(Справочник_товаров!$C$2:$C$11,MATCH(E21,Справочник_товаров!$A$2:$A$11,0))</f>
        <v>9990</v>
      </c>
      <c r="H21" s="5">
        <v>2</v>
      </c>
      <c r="I21" s="13">
        <f t="shared" si="0"/>
        <v>19980</v>
      </c>
    </row>
    <row r="22" spans="1:9" x14ac:dyDescent="0.25">
      <c r="A22" s="5">
        <v>1020</v>
      </c>
      <c r="B22" s="5" t="s">
        <v>72</v>
      </c>
      <c r="C22" s="5" t="s">
        <v>58</v>
      </c>
      <c r="D22" s="5" t="s">
        <v>64</v>
      </c>
      <c r="E22" s="5" t="s">
        <v>36</v>
      </c>
      <c r="F22" s="7" t="str">
        <f>INDEX(Справочник_товаров!$B$2:$B$11,MATCH(E22,Справочник_товаров!$A$2:$A$11,0))</f>
        <v>Аксессуары</v>
      </c>
      <c r="G22" s="12">
        <f>INDEX(Справочник_товаров!$C$2:$C$11,MATCH(E22,Справочник_товаров!$A$2:$A$11,0))</f>
        <v>1490</v>
      </c>
      <c r="H22" s="5">
        <v>4</v>
      </c>
      <c r="I22" s="13">
        <f t="shared" si="0"/>
        <v>5960</v>
      </c>
    </row>
    <row r="23" spans="1:9" x14ac:dyDescent="0.25">
      <c r="A23" s="5">
        <v>1021</v>
      </c>
      <c r="B23" s="5" t="s">
        <v>73</v>
      </c>
      <c r="C23" s="5" t="s">
        <v>48</v>
      </c>
      <c r="D23" s="5" t="s">
        <v>53</v>
      </c>
      <c r="E23" s="5" t="s">
        <v>34</v>
      </c>
      <c r="F23" s="7" t="str">
        <f>INDEX(Справочник_товаров!$B$2:$B$11,MATCH(E23,Справочник_товаров!$A$2:$A$11,0))</f>
        <v>Аксессуары</v>
      </c>
      <c r="G23" s="12">
        <f>INDEX(Справочник_товаров!$C$2:$C$11,MATCH(E23,Справочник_товаров!$A$2:$A$11,0))</f>
        <v>2990</v>
      </c>
      <c r="H23" s="5">
        <v>4</v>
      </c>
      <c r="I23" s="13">
        <f t="shared" si="0"/>
        <v>11960</v>
      </c>
    </row>
    <row r="24" spans="1:9" x14ac:dyDescent="0.25">
      <c r="A24" s="5">
        <v>1022</v>
      </c>
      <c r="B24" s="5" t="s">
        <v>74</v>
      </c>
      <c r="C24" s="5" t="s">
        <v>45</v>
      </c>
      <c r="D24" s="5" t="s">
        <v>46</v>
      </c>
      <c r="E24" s="5" t="s">
        <v>26</v>
      </c>
      <c r="F24" s="7" t="str">
        <f>INDEX(Справочник_товаров!$B$2:$B$11,MATCH(E24,Справочник_товаров!$A$2:$A$11,0))</f>
        <v>Электроника</v>
      </c>
      <c r="G24" s="12">
        <f>INDEX(Справочник_товаров!$C$2:$C$11,MATCH(E24,Справочник_товаров!$A$2:$A$11,0))</f>
        <v>89990</v>
      </c>
      <c r="H24" s="5">
        <v>2</v>
      </c>
      <c r="I24" s="13">
        <f t="shared" si="0"/>
        <v>179980</v>
      </c>
    </row>
    <row r="25" spans="1:9" x14ac:dyDescent="0.25">
      <c r="A25" s="5">
        <v>1023</v>
      </c>
      <c r="B25" s="5" t="s">
        <v>75</v>
      </c>
      <c r="C25" s="5" t="s">
        <v>50</v>
      </c>
      <c r="D25" s="5" t="s">
        <v>46</v>
      </c>
      <c r="E25" s="5" t="s">
        <v>31</v>
      </c>
      <c r="F25" s="7" t="str">
        <f>INDEX(Справочник_товаров!$B$2:$B$11,MATCH(E25,Справочник_товаров!$A$2:$A$11,0))</f>
        <v>Мебель</v>
      </c>
      <c r="G25" s="12">
        <f>INDEX(Справочник_товаров!$C$2:$C$11,MATCH(E25,Справочник_товаров!$A$2:$A$11,0))</f>
        <v>12990</v>
      </c>
      <c r="H25" s="5">
        <v>4</v>
      </c>
      <c r="I25" s="13">
        <f t="shared" si="0"/>
        <v>51960</v>
      </c>
    </row>
    <row r="26" spans="1:9" x14ac:dyDescent="0.25">
      <c r="A26" s="5">
        <v>1024</v>
      </c>
      <c r="B26" s="5" t="s">
        <v>76</v>
      </c>
      <c r="C26" s="5" t="s">
        <v>50</v>
      </c>
      <c r="D26" s="5" t="s">
        <v>62</v>
      </c>
      <c r="E26" s="5" t="s">
        <v>34</v>
      </c>
      <c r="F26" s="7" t="str">
        <f>INDEX(Справочник_товаров!$B$2:$B$11,MATCH(E26,Справочник_товаров!$A$2:$A$11,0))</f>
        <v>Аксессуары</v>
      </c>
      <c r="G26" s="12">
        <f>INDEX(Справочник_товаров!$C$2:$C$11,MATCH(E26,Справочник_товаров!$A$2:$A$11,0))</f>
        <v>2990</v>
      </c>
      <c r="H26" s="5">
        <v>1</v>
      </c>
      <c r="I26" s="13">
        <f t="shared" si="0"/>
        <v>2990</v>
      </c>
    </row>
    <row r="27" spans="1:9" x14ac:dyDescent="0.25">
      <c r="A27" s="5">
        <v>1025</v>
      </c>
      <c r="B27" s="5" t="s">
        <v>77</v>
      </c>
      <c r="C27" s="5" t="s">
        <v>45</v>
      </c>
      <c r="D27" s="5" t="s">
        <v>62</v>
      </c>
      <c r="E27" s="5" t="s">
        <v>30</v>
      </c>
      <c r="F27" s="7" t="str">
        <f>INDEX(Справочник_товаров!$B$2:$B$11,MATCH(E27,Справочник_товаров!$A$2:$A$11,0))</f>
        <v>Бытовая техника</v>
      </c>
      <c r="G27" s="12">
        <f>INDEX(Справочник_товаров!$C$2:$C$11,MATCH(E27,Справочник_товаров!$A$2:$A$11,0))</f>
        <v>3490</v>
      </c>
      <c r="H27" s="5">
        <v>1</v>
      </c>
      <c r="I27" s="13">
        <f t="shared" si="0"/>
        <v>3490</v>
      </c>
    </row>
    <row r="28" spans="1:9" x14ac:dyDescent="0.25">
      <c r="A28" s="5">
        <v>1026</v>
      </c>
      <c r="B28" s="5" t="s">
        <v>78</v>
      </c>
      <c r="C28" s="5" t="s">
        <v>50</v>
      </c>
      <c r="D28" s="5" t="s">
        <v>53</v>
      </c>
      <c r="E28" s="5" t="s">
        <v>33</v>
      </c>
      <c r="F28" s="7" t="str">
        <f>INDEX(Справочник_товаров!$B$2:$B$11,MATCH(E28,Справочник_товаров!$A$2:$A$11,0))</f>
        <v>Мебель</v>
      </c>
      <c r="G28" s="12">
        <f>INDEX(Справочник_товаров!$C$2:$C$11,MATCH(E28,Справочник_товаров!$A$2:$A$11,0))</f>
        <v>24990</v>
      </c>
      <c r="H28" s="5">
        <v>1</v>
      </c>
      <c r="I28" s="13">
        <f t="shared" si="0"/>
        <v>24990</v>
      </c>
    </row>
    <row r="29" spans="1:9" x14ac:dyDescent="0.25">
      <c r="A29" s="5">
        <v>1027</v>
      </c>
      <c r="B29" s="5" t="s">
        <v>79</v>
      </c>
      <c r="C29" s="5" t="s">
        <v>58</v>
      </c>
      <c r="D29" s="5" t="s">
        <v>53</v>
      </c>
      <c r="E29" s="5" t="s">
        <v>34</v>
      </c>
      <c r="F29" s="7" t="str">
        <f>INDEX(Справочник_товаров!$B$2:$B$11,MATCH(E29,Справочник_товаров!$A$2:$A$11,0))</f>
        <v>Аксессуары</v>
      </c>
      <c r="G29" s="12">
        <f>INDEX(Справочник_товаров!$C$2:$C$11,MATCH(E29,Справочник_товаров!$A$2:$A$11,0))</f>
        <v>2990</v>
      </c>
      <c r="H29" s="5">
        <v>1</v>
      </c>
      <c r="I29" s="13">
        <f t="shared" si="0"/>
        <v>2990</v>
      </c>
    </row>
    <row r="30" spans="1:9" x14ac:dyDescent="0.25">
      <c r="A30" s="5">
        <v>1028</v>
      </c>
      <c r="B30" s="5" t="s">
        <v>80</v>
      </c>
      <c r="C30" s="5" t="s">
        <v>58</v>
      </c>
      <c r="D30" s="5" t="s">
        <v>53</v>
      </c>
      <c r="E30" s="5" t="s">
        <v>26</v>
      </c>
      <c r="F30" s="7" t="str">
        <f>INDEX(Справочник_товаров!$B$2:$B$11,MATCH(E30,Справочник_товаров!$A$2:$A$11,0))</f>
        <v>Электроника</v>
      </c>
      <c r="G30" s="12">
        <f>INDEX(Справочник_товаров!$C$2:$C$11,MATCH(E30,Справочник_товаров!$A$2:$A$11,0))</f>
        <v>89990</v>
      </c>
      <c r="H30" s="5">
        <v>3</v>
      </c>
      <c r="I30" s="13">
        <f t="shared" si="0"/>
        <v>269970</v>
      </c>
    </row>
    <row r="31" spans="1:9" x14ac:dyDescent="0.25">
      <c r="A31" s="5">
        <v>1029</v>
      </c>
      <c r="B31" s="5" t="s">
        <v>81</v>
      </c>
      <c r="C31" s="5" t="s">
        <v>48</v>
      </c>
      <c r="D31" s="5" t="s">
        <v>46</v>
      </c>
      <c r="E31" s="5" t="s">
        <v>36</v>
      </c>
      <c r="F31" s="7" t="str">
        <f>INDEX(Справочник_товаров!$B$2:$B$11,MATCH(E31,Справочник_товаров!$A$2:$A$11,0))</f>
        <v>Аксессуары</v>
      </c>
      <c r="G31" s="12">
        <f>INDEX(Справочник_товаров!$C$2:$C$11,MATCH(E31,Справочник_товаров!$A$2:$A$11,0))</f>
        <v>1490</v>
      </c>
      <c r="H31" s="5">
        <v>3</v>
      </c>
      <c r="I31" s="13">
        <f t="shared" si="0"/>
        <v>4470</v>
      </c>
    </row>
    <row r="32" spans="1:9" x14ac:dyDescent="0.25">
      <c r="A32" s="5">
        <v>1030</v>
      </c>
      <c r="B32" s="5" t="s">
        <v>82</v>
      </c>
      <c r="C32" s="5" t="s">
        <v>45</v>
      </c>
      <c r="D32" s="5" t="s">
        <v>46</v>
      </c>
      <c r="E32" s="5" t="s">
        <v>30</v>
      </c>
      <c r="F32" s="7" t="str">
        <f>INDEX(Справочник_товаров!$B$2:$B$11,MATCH(E32,Справочник_товаров!$A$2:$A$11,0))</f>
        <v>Бытовая техника</v>
      </c>
      <c r="G32" s="12">
        <f>INDEX(Справочник_товаров!$C$2:$C$11,MATCH(E32,Справочник_товаров!$A$2:$A$11,0))</f>
        <v>3490</v>
      </c>
      <c r="H32" s="5">
        <v>3</v>
      </c>
      <c r="I32" s="13">
        <f t="shared" si="0"/>
        <v>10470</v>
      </c>
    </row>
    <row r="33" spans="1:9" x14ac:dyDescent="0.25">
      <c r="A33" s="5">
        <v>1031</v>
      </c>
      <c r="B33" s="5" t="s">
        <v>83</v>
      </c>
      <c r="C33" s="5" t="s">
        <v>45</v>
      </c>
      <c r="D33" s="5" t="s">
        <v>53</v>
      </c>
      <c r="E33" s="5" t="s">
        <v>36</v>
      </c>
      <c r="F33" s="7" t="str">
        <f>INDEX(Справочник_товаров!$B$2:$B$11,MATCH(E33,Справочник_товаров!$A$2:$A$11,0))</f>
        <v>Аксессуары</v>
      </c>
      <c r="G33" s="12">
        <f>INDEX(Справочник_товаров!$C$2:$C$11,MATCH(E33,Справочник_товаров!$A$2:$A$11,0))</f>
        <v>1490</v>
      </c>
      <c r="H33" s="5">
        <v>1</v>
      </c>
      <c r="I33" s="13">
        <f t="shared" si="0"/>
        <v>1490</v>
      </c>
    </row>
    <row r="34" spans="1:9" x14ac:dyDescent="0.25">
      <c r="A34" s="5">
        <v>1032</v>
      </c>
      <c r="B34" s="5" t="s">
        <v>84</v>
      </c>
      <c r="C34" s="5" t="s">
        <v>50</v>
      </c>
      <c r="D34" s="5" t="s">
        <v>46</v>
      </c>
      <c r="E34" s="5" t="s">
        <v>34</v>
      </c>
      <c r="F34" s="7" t="str">
        <f>INDEX(Справочник_товаров!$B$2:$B$11,MATCH(E34,Справочник_товаров!$A$2:$A$11,0))</f>
        <v>Аксессуары</v>
      </c>
      <c r="G34" s="12">
        <f>INDEX(Справочник_товаров!$C$2:$C$11,MATCH(E34,Справочник_товаров!$A$2:$A$11,0))</f>
        <v>2990</v>
      </c>
      <c r="H34" s="5">
        <v>2</v>
      </c>
      <c r="I34" s="13">
        <f t="shared" ref="I34:I65" si="1">G34*H34</f>
        <v>5980</v>
      </c>
    </row>
    <row r="35" spans="1:9" x14ac:dyDescent="0.25">
      <c r="A35" s="5">
        <v>1033</v>
      </c>
      <c r="B35" s="5" t="s">
        <v>85</v>
      </c>
      <c r="C35" s="5" t="s">
        <v>50</v>
      </c>
      <c r="D35" s="5" t="s">
        <v>53</v>
      </c>
      <c r="E35" s="5" t="s">
        <v>29</v>
      </c>
      <c r="F35" s="7" t="str">
        <f>INDEX(Справочник_товаров!$B$2:$B$11,MATCH(E35,Справочник_товаров!$A$2:$A$11,0))</f>
        <v>Бытовая техника</v>
      </c>
      <c r="G35" s="12">
        <f>INDEX(Справочник_товаров!$C$2:$C$11,MATCH(E35,Справочник_товаров!$A$2:$A$11,0))</f>
        <v>9990</v>
      </c>
      <c r="H35" s="5">
        <v>5</v>
      </c>
      <c r="I35" s="13">
        <f t="shared" si="1"/>
        <v>49950</v>
      </c>
    </row>
    <row r="36" spans="1:9" x14ac:dyDescent="0.25">
      <c r="A36" s="5">
        <v>1034</v>
      </c>
      <c r="B36" s="5" t="s">
        <v>86</v>
      </c>
      <c r="C36" s="5" t="s">
        <v>50</v>
      </c>
      <c r="D36" s="5" t="s">
        <v>53</v>
      </c>
      <c r="E36" s="5" t="s">
        <v>34</v>
      </c>
      <c r="F36" s="7" t="str">
        <f>INDEX(Справочник_товаров!$B$2:$B$11,MATCH(E36,Справочник_товаров!$A$2:$A$11,0))</f>
        <v>Аксессуары</v>
      </c>
      <c r="G36" s="12">
        <f>INDEX(Справочник_товаров!$C$2:$C$11,MATCH(E36,Справочник_товаров!$A$2:$A$11,0))</f>
        <v>2990</v>
      </c>
      <c r="H36" s="5">
        <v>2</v>
      </c>
      <c r="I36" s="13">
        <f t="shared" si="1"/>
        <v>5980</v>
      </c>
    </row>
    <row r="37" spans="1:9" x14ac:dyDescent="0.25">
      <c r="A37" s="5">
        <v>1035</v>
      </c>
      <c r="B37" s="5" t="s">
        <v>87</v>
      </c>
      <c r="C37" s="5" t="s">
        <v>58</v>
      </c>
      <c r="D37" s="5" t="s">
        <v>64</v>
      </c>
      <c r="E37" s="5" t="s">
        <v>30</v>
      </c>
      <c r="F37" s="7" t="str">
        <f>INDEX(Справочник_товаров!$B$2:$B$11,MATCH(E37,Справочник_товаров!$A$2:$A$11,0))</f>
        <v>Бытовая техника</v>
      </c>
      <c r="G37" s="12">
        <f>INDEX(Справочник_товаров!$C$2:$C$11,MATCH(E37,Справочник_товаров!$A$2:$A$11,0))</f>
        <v>3490</v>
      </c>
      <c r="H37" s="5">
        <v>4</v>
      </c>
      <c r="I37" s="13">
        <f t="shared" si="1"/>
        <v>13960</v>
      </c>
    </row>
    <row r="38" spans="1:9" x14ac:dyDescent="0.25">
      <c r="A38" s="5">
        <v>1036</v>
      </c>
      <c r="B38" s="5" t="s">
        <v>88</v>
      </c>
      <c r="C38" s="5" t="s">
        <v>50</v>
      </c>
      <c r="D38" s="5" t="s">
        <v>46</v>
      </c>
      <c r="E38" s="5" t="s">
        <v>27</v>
      </c>
      <c r="F38" s="7" t="str">
        <f>INDEX(Справочник_товаров!$B$2:$B$11,MATCH(E38,Справочник_товаров!$A$2:$A$11,0))</f>
        <v>Бытовая техника</v>
      </c>
      <c r="G38" s="12">
        <f>INDEX(Справочник_товаров!$C$2:$C$11,MATCH(E38,Справочник_товаров!$A$2:$A$11,0))</f>
        <v>15990</v>
      </c>
      <c r="H38" s="5">
        <v>2</v>
      </c>
      <c r="I38" s="13">
        <f t="shared" si="1"/>
        <v>31980</v>
      </c>
    </row>
    <row r="39" spans="1:9" x14ac:dyDescent="0.25">
      <c r="A39" s="5">
        <v>1037</v>
      </c>
      <c r="B39" s="5" t="s">
        <v>89</v>
      </c>
      <c r="C39" s="5" t="s">
        <v>58</v>
      </c>
      <c r="D39" s="5" t="s">
        <v>46</v>
      </c>
      <c r="E39" s="5" t="s">
        <v>36</v>
      </c>
      <c r="F39" s="7" t="str">
        <f>INDEX(Справочник_товаров!$B$2:$B$11,MATCH(E39,Справочник_товаров!$A$2:$A$11,0))</f>
        <v>Аксессуары</v>
      </c>
      <c r="G39" s="12">
        <f>INDEX(Справочник_товаров!$C$2:$C$11,MATCH(E39,Справочник_товаров!$A$2:$A$11,0))</f>
        <v>1490</v>
      </c>
      <c r="H39" s="5">
        <v>5</v>
      </c>
      <c r="I39" s="13">
        <f t="shared" si="1"/>
        <v>7450</v>
      </c>
    </row>
    <row r="40" spans="1:9" x14ac:dyDescent="0.25">
      <c r="A40" s="5">
        <v>1038</v>
      </c>
      <c r="B40" s="5" t="s">
        <v>90</v>
      </c>
      <c r="C40" s="5" t="s">
        <v>48</v>
      </c>
      <c r="D40" s="5" t="s">
        <v>46</v>
      </c>
      <c r="E40" s="5" t="s">
        <v>25</v>
      </c>
      <c r="F40" s="7" t="str">
        <f>INDEX(Справочник_товаров!$B$2:$B$11,MATCH(E40,Справочник_товаров!$A$2:$A$11,0))</f>
        <v>Электроника</v>
      </c>
      <c r="G40" s="12">
        <f>INDEX(Справочник_товаров!$C$2:$C$11,MATCH(E40,Справочник_товаров!$A$2:$A$11,0))</f>
        <v>68990</v>
      </c>
      <c r="H40" s="5">
        <v>1</v>
      </c>
      <c r="I40" s="13">
        <f t="shared" si="1"/>
        <v>68990</v>
      </c>
    </row>
    <row r="41" spans="1:9" x14ac:dyDescent="0.25">
      <c r="A41" s="5">
        <v>1039</v>
      </c>
      <c r="B41" s="5" t="s">
        <v>91</v>
      </c>
      <c r="C41" s="5" t="s">
        <v>45</v>
      </c>
      <c r="D41" s="5" t="s">
        <v>46</v>
      </c>
      <c r="E41" s="5" t="s">
        <v>30</v>
      </c>
      <c r="F41" s="7" t="str">
        <f>INDEX(Справочник_товаров!$B$2:$B$11,MATCH(E41,Справочник_товаров!$A$2:$A$11,0))</f>
        <v>Бытовая техника</v>
      </c>
      <c r="G41" s="12">
        <f>INDEX(Справочник_товаров!$C$2:$C$11,MATCH(E41,Справочник_товаров!$A$2:$A$11,0))</f>
        <v>3490</v>
      </c>
      <c r="H41" s="5">
        <v>1</v>
      </c>
      <c r="I41" s="13">
        <f t="shared" si="1"/>
        <v>3490</v>
      </c>
    </row>
    <row r="42" spans="1:9" x14ac:dyDescent="0.25">
      <c r="A42" s="5">
        <v>1040</v>
      </c>
      <c r="B42" s="5" t="s">
        <v>92</v>
      </c>
      <c r="C42" s="5" t="s">
        <v>48</v>
      </c>
      <c r="D42" s="5" t="s">
        <v>62</v>
      </c>
      <c r="E42" s="5" t="s">
        <v>33</v>
      </c>
      <c r="F42" s="7" t="str">
        <f>INDEX(Справочник_товаров!$B$2:$B$11,MATCH(E42,Справочник_товаров!$A$2:$A$11,0))</f>
        <v>Мебель</v>
      </c>
      <c r="G42" s="12">
        <f>INDEX(Справочник_товаров!$C$2:$C$11,MATCH(E42,Справочник_товаров!$A$2:$A$11,0))</f>
        <v>24990</v>
      </c>
      <c r="H42" s="5">
        <v>2</v>
      </c>
      <c r="I42" s="13">
        <f t="shared" si="1"/>
        <v>49980</v>
      </c>
    </row>
    <row r="43" spans="1:9" x14ac:dyDescent="0.25">
      <c r="A43" s="5">
        <v>1041</v>
      </c>
      <c r="B43" s="5" t="s">
        <v>93</v>
      </c>
      <c r="C43" s="5" t="s">
        <v>48</v>
      </c>
      <c r="D43" s="5" t="s">
        <v>64</v>
      </c>
      <c r="E43" s="5" t="s">
        <v>27</v>
      </c>
      <c r="F43" s="7" t="str">
        <f>INDEX(Справочник_товаров!$B$2:$B$11,MATCH(E43,Справочник_товаров!$A$2:$A$11,0))</f>
        <v>Бытовая техника</v>
      </c>
      <c r="G43" s="12">
        <f>INDEX(Справочник_товаров!$C$2:$C$11,MATCH(E43,Справочник_товаров!$A$2:$A$11,0))</f>
        <v>15990</v>
      </c>
      <c r="H43" s="5">
        <v>4</v>
      </c>
      <c r="I43" s="13">
        <f t="shared" si="1"/>
        <v>63960</v>
      </c>
    </row>
    <row r="44" spans="1:9" x14ac:dyDescent="0.25">
      <c r="A44" s="5">
        <v>1042</v>
      </c>
      <c r="B44" s="5" t="s">
        <v>94</v>
      </c>
      <c r="C44" s="5" t="s">
        <v>50</v>
      </c>
      <c r="D44" s="5" t="s">
        <v>53</v>
      </c>
      <c r="E44" s="5" t="s">
        <v>25</v>
      </c>
      <c r="F44" s="7" t="str">
        <f>INDEX(Справочник_товаров!$B$2:$B$11,MATCH(E44,Справочник_товаров!$A$2:$A$11,0))</f>
        <v>Электроника</v>
      </c>
      <c r="G44" s="12">
        <f>INDEX(Справочник_товаров!$C$2:$C$11,MATCH(E44,Справочник_товаров!$A$2:$A$11,0))</f>
        <v>68990</v>
      </c>
      <c r="H44" s="5">
        <v>1</v>
      </c>
      <c r="I44" s="13">
        <f t="shared" si="1"/>
        <v>68990</v>
      </c>
    </row>
    <row r="45" spans="1:9" x14ac:dyDescent="0.25">
      <c r="A45" s="5">
        <v>1043</v>
      </c>
      <c r="B45" s="5" t="s">
        <v>95</v>
      </c>
      <c r="C45" s="5" t="s">
        <v>50</v>
      </c>
      <c r="D45" s="5" t="s">
        <v>62</v>
      </c>
      <c r="E45" s="5" t="s">
        <v>31</v>
      </c>
      <c r="F45" s="7" t="str">
        <f>INDEX(Справочник_товаров!$B$2:$B$11,MATCH(E45,Справочник_товаров!$A$2:$A$11,0))</f>
        <v>Мебель</v>
      </c>
      <c r="G45" s="12">
        <f>INDEX(Справочник_товаров!$C$2:$C$11,MATCH(E45,Справочник_товаров!$A$2:$A$11,0))</f>
        <v>12990</v>
      </c>
      <c r="H45" s="5">
        <v>4</v>
      </c>
      <c r="I45" s="13">
        <f t="shared" si="1"/>
        <v>51960</v>
      </c>
    </row>
    <row r="46" spans="1:9" x14ac:dyDescent="0.25">
      <c r="A46" s="5">
        <v>1044</v>
      </c>
      <c r="B46" s="5" t="s">
        <v>96</v>
      </c>
      <c r="C46" s="5" t="s">
        <v>45</v>
      </c>
      <c r="D46" s="5" t="s">
        <v>46</v>
      </c>
      <c r="E46" s="5" t="s">
        <v>23</v>
      </c>
      <c r="F46" s="7" t="str">
        <f>INDEX(Справочник_товаров!$B$2:$B$11,MATCH(E46,Справочник_товаров!$A$2:$A$11,0))</f>
        <v>Электроника</v>
      </c>
      <c r="G46" s="12">
        <f>INDEX(Справочник_товаров!$C$2:$C$11,MATCH(E46,Справочник_товаров!$A$2:$A$11,0))</f>
        <v>42990</v>
      </c>
      <c r="H46" s="5">
        <v>4</v>
      </c>
      <c r="I46" s="13">
        <f t="shared" si="1"/>
        <v>171960</v>
      </c>
    </row>
    <row r="47" spans="1:9" x14ac:dyDescent="0.25">
      <c r="A47" s="5">
        <v>1045</v>
      </c>
      <c r="B47" s="5" t="s">
        <v>97</v>
      </c>
      <c r="C47" s="5" t="s">
        <v>58</v>
      </c>
      <c r="D47" s="5" t="s">
        <v>46</v>
      </c>
      <c r="E47" s="5" t="s">
        <v>27</v>
      </c>
      <c r="F47" s="7" t="str">
        <f>INDEX(Справочник_товаров!$B$2:$B$11,MATCH(E47,Справочник_товаров!$A$2:$A$11,0))</f>
        <v>Бытовая техника</v>
      </c>
      <c r="G47" s="12">
        <f>INDEX(Справочник_товаров!$C$2:$C$11,MATCH(E47,Справочник_товаров!$A$2:$A$11,0))</f>
        <v>15990</v>
      </c>
      <c r="H47" s="5">
        <v>2</v>
      </c>
      <c r="I47" s="13">
        <f t="shared" si="1"/>
        <v>31980</v>
      </c>
    </row>
    <row r="48" spans="1:9" x14ac:dyDescent="0.25">
      <c r="A48" s="5">
        <v>1046</v>
      </c>
      <c r="B48" s="5" t="s">
        <v>98</v>
      </c>
      <c r="C48" s="5" t="s">
        <v>50</v>
      </c>
      <c r="D48" s="5" t="s">
        <v>53</v>
      </c>
      <c r="E48" s="5" t="s">
        <v>31</v>
      </c>
      <c r="F48" s="7" t="str">
        <f>INDEX(Справочник_товаров!$B$2:$B$11,MATCH(E48,Справочник_товаров!$A$2:$A$11,0))</f>
        <v>Мебель</v>
      </c>
      <c r="G48" s="12">
        <f>INDEX(Справочник_товаров!$C$2:$C$11,MATCH(E48,Справочник_товаров!$A$2:$A$11,0))</f>
        <v>12990</v>
      </c>
      <c r="H48" s="5">
        <v>2</v>
      </c>
      <c r="I48" s="13">
        <f t="shared" si="1"/>
        <v>25980</v>
      </c>
    </row>
    <row r="49" spans="1:9" x14ac:dyDescent="0.25">
      <c r="A49" s="5">
        <v>1047</v>
      </c>
      <c r="B49" s="5" t="s">
        <v>99</v>
      </c>
      <c r="C49" s="5" t="s">
        <v>50</v>
      </c>
      <c r="D49" s="5" t="s">
        <v>53</v>
      </c>
      <c r="E49" s="5" t="s">
        <v>25</v>
      </c>
      <c r="F49" s="7" t="str">
        <f>INDEX(Справочник_товаров!$B$2:$B$11,MATCH(E49,Справочник_товаров!$A$2:$A$11,0))</f>
        <v>Электроника</v>
      </c>
      <c r="G49" s="12">
        <f>INDEX(Справочник_товаров!$C$2:$C$11,MATCH(E49,Справочник_товаров!$A$2:$A$11,0))</f>
        <v>68990</v>
      </c>
      <c r="H49" s="5">
        <v>4</v>
      </c>
      <c r="I49" s="13">
        <f t="shared" si="1"/>
        <v>275960</v>
      </c>
    </row>
    <row r="50" spans="1:9" x14ac:dyDescent="0.25">
      <c r="A50" s="5">
        <v>1048</v>
      </c>
      <c r="B50" s="5" t="s">
        <v>100</v>
      </c>
      <c r="C50" s="5" t="s">
        <v>45</v>
      </c>
      <c r="D50" s="5" t="s">
        <v>46</v>
      </c>
      <c r="E50" s="5" t="s">
        <v>34</v>
      </c>
      <c r="F50" s="7" t="str">
        <f>INDEX(Справочник_товаров!$B$2:$B$11,MATCH(E50,Справочник_товаров!$A$2:$A$11,0))</f>
        <v>Аксессуары</v>
      </c>
      <c r="G50" s="12">
        <f>INDEX(Справочник_товаров!$C$2:$C$11,MATCH(E50,Справочник_товаров!$A$2:$A$11,0))</f>
        <v>2990</v>
      </c>
      <c r="H50" s="5">
        <v>1</v>
      </c>
      <c r="I50" s="13">
        <f t="shared" si="1"/>
        <v>2990</v>
      </c>
    </row>
    <row r="51" spans="1:9" x14ac:dyDescent="0.25">
      <c r="A51" s="5">
        <v>1049</v>
      </c>
      <c r="B51" s="5" t="s">
        <v>89</v>
      </c>
      <c r="C51" s="5" t="s">
        <v>48</v>
      </c>
      <c r="D51" s="5" t="s">
        <v>53</v>
      </c>
      <c r="E51" s="5" t="s">
        <v>31</v>
      </c>
      <c r="F51" s="7" t="str">
        <f>INDEX(Справочник_товаров!$B$2:$B$11,MATCH(E51,Справочник_товаров!$A$2:$A$11,0))</f>
        <v>Мебель</v>
      </c>
      <c r="G51" s="12">
        <f>INDEX(Справочник_товаров!$C$2:$C$11,MATCH(E51,Справочник_товаров!$A$2:$A$11,0))</f>
        <v>12990</v>
      </c>
      <c r="H51" s="5">
        <v>4</v>
      </c>
      <c r="I51" s="13">
        <f t="shared" si="1"/>
        <v>51960</v>
      </c>
    </row>
    <row r="52" spans="1:9" x14ac:dyDescent="0.25">
      <c r="A52" s="5">
        <v>1050</v>
      </c>
      <c r="B52" s="5" t="s">
        <v>101</v>
      </c>
      <c r="C52" s="5" t="s">
        <v>48</v>
      </c>
      <c r="D52" s="5" t="s">
        <v>64</v>
      </c>
      <c r="E52" s="5" t="s">
        <v>23</v>
      </c>
      <c r="F52" s="7" t="str">
        <f>INDEX(Справочник_товаров!$B$2:$B$11,MATCH(E52,Справочник_товаров!$A$2:$A$11,0))</f>
        <v>Электроника</v>
      </c>
      <c r="G52" s="12">
        <f>INDEX(Справочник_товаров!$C$2:$C$11,MATCH(E52,Справочник_товаров!$A$2:$A$11,0))</f>
        <v>42990</v>
      </c>
      <c r="H52" s="5">
        <v>2</v>
      </c>
      <c r="I52" s="13">
        <f t="shared" si="1"/>
        <v>85980</v>
      </c>
    </row>
    <row r="53" spans="1:9" x14ac:dyDescent="0.25">
      <c r="A53" s="5">
        <v>1051</v>
      </c>
      <c r="B53" s="5" t="s">
        <v>102</v>
      </c>
      <c r="C53" s="5" t="s">
        <v>45</v>
      </c>
      <c r="D53" s="5" t="s">
        <v>64</v>
      </c>
      <c r="E53" s="5" t="s">
        <v>29</v>
      </c>
      <c r="F53" s="7" t="str">
        <f>INDEX(Справочник_товаров!$B$2:$B$11,MATCH(E53,Справочник_товаров!$A$2:$A$11,0))</f>
        <v>Бытовая техника</v>
      </c>
      <c r="G53" s="12">
        <f>INDEX(Справочник_товаров!$C$2:$C$11,MATCH(E53,Справочник_товаров!$A$2:$A$11,0))</f>
        <v>9990</v>
      </c>
      <c r="H53" s="5">
        <v>4</v>
      </c>
      <c r="I53" s="13">
        <f t="shared" si="1"/>
        <v>39960</v>
      </c>
    </row>
    <row r="54" spans="1:9" x14ac:dyDescent="0.25">
      <c r="A54" s="5">
        <v>1052</v>
      </c>
      <c r="B54" s="5" t="s">
        <v>103</v>
      </c>
      <c r="C54" s="5" t="s">
        <v>50</v>
      </c>
      <c r="D54" s="5" t="s">
        <v>64</v>
      </c>
      <c r="E54" s="5" t="s">
        <v>26</v>
      </c>
      <c r="F54" s="7" t="str">
        <f>INDEX(Справочник_товаров!$B$2:$B$11,MATCH(E54,Справочник_товаров!$A$2:$A$11,0))</f>
        <v>Электроника</v>
      </c>
      <c r="G54" s="12">
        <f>INDEX(Справочник_товаров!$C$2:$C$11,MATCH(E54,Справочник_товаров!$A$2:$A$11,0))</f>
        <v>89990</v>
      </c>
      <c r="H54" s="5">
        <v>2</v>
      </c>
      <c r="I54" s="13">
        <f t="shared" si="1"/>
        <v>179980</v>
      </c>
    </row>
    <row r="55" spans="1:9" x14ac:dyDescent="0.25">
      <c r="A55" s="5">
        <v>1053</v>
      </c>
      <c r="B55" s="5" t="s">
        <v>104</v>
      </c>
      <c r="C55" s="5" t="s">
        <v>48</v>
      </c>
      <c r="D55" s="5" t="s">
        <v>46</v>
      </c>
      <c r="E55" s="5" t="s">
        <v>36</v>
      </c>
      <c r="F55" s="7" t="str">
        <f>INDEX(Справочник_товаров!$B$2:$B$11,MATCH(E55,Справочник_товаров!$A$2:$A$11,0))</f>
        <v>Аксессуары</v>
      </c>
      <c r="G55" s="12">
        <f>INDEX(Справочник_товаров!$C$2:$C$11,MATCH(E55,Справочник_товаров!$A$2:$A$11,0))</f>
        <v>1490</v>
      </c>
      <c r="H55" s="5">
        <v>5</v>
      </c>
      <c r="I55" s="13">
        <f t="shared" si="1"/>
        <v>7450</v>
      </c>
    </row>
    <row r="56" spans="1:9" x14ac:dyDescent="0.25">
      <c r="A56" s="5">
        <v>1054</v>
      </c>
      <c r="B56" s="5" t="s">
        <v>105</v>
      </c>
      <c r="C56" s="5" t="s">
        <v>58</v>
      </c>
      <c r="D56" s="5" t="s">
        <v>46</v>
      </c>
      <c r="E56" s="5" t="s">
        <v>23</v>
      </c>
      <c r="F56" s="7" t="str">
        <f>INDEX(Справочник_товаров!$B$2:$B$11,MATCH(E56,Справочник_товаров!$A$2:$A$11,0))</f>
        <v>Электроника</v>
      </c>
      <c r="G56" s="12">
        <f>INDEX(Справочник_товаров!$C$2:$C$11,MATCH(E56,Справочник_товаров!$A$2:$A$11,0))</f>
        <v>42990</v>
      </c>
      <c r="H56" s="5">
        <v>5</v>
      </c>
      <c r="I56" s="13">
        <f t="shared" si="1"/>
        <v>214950</v>
      </c>
    </row>
    <row r="57" spans="1:9" x14ac:dyDescent="0.25">
      <c r="A57" s="5">
        <v>1055</v>
      </c>
      <c r="B57" s="5" t="s">
        <v>106</v>
      </c>
      <c r="C57" s="5" t="s">
        <v>48</v>
      </c>
      <c r="D57" s="5" t="s">
        <v>46</v>
      </c>
      <c r="E57" s="5" t="s">
        <v>34</v>
      </c>
      <c r="F57" s="7" t="str">
        <f>INDEX(Справочник_товаров!$B$2:$B$11,MATCH(E57,Справочник_товаров!$A$2:$A$11,0))</f>
        <v>Аксессуары</v>
      </c>
      <c r="G57" s="12">
        <f>INDEX(Справочник_товаров!$C$2:$C$11,MATCH(E57,Справочник_товаров!$A$2:$A$11,0))</f>
        <v>2990</v>
      </c>
      <c r="H57" s="5">
        <v>1</v>
      </c>
      <c r="I57" s="13">
        <f t="shared" si="1"/>
        <v>2990</v>
      </c>
    </row>
    <row r="58" spans="1:9" x14ac:dyDescent="0.25">
      <c r="A58" s="5">
        <v>1056</v>
      </c>
      <c r="B58" s="5" t="s">
        <v>107</v>
      </c>
      <c r="C58" s="5" t="s">
        <v>48</v>
      </c>
      <c r="D58" s="5" t="s">
        <v>46</v>
      </c>
      <c r="E58" s="5" t="s">
        <v>36</v>
      </c>
      <c r="F58" s="7" t="str">
        <f>INDEX(Справочник_товаров!$B$2:$B$11,MATCH(E58,Справочник_товаров!$A$2:$A$11,0))</f>
        <v>Аксессуары</v>
      </c>
      <c r="G58" s="12">
        <f>INDEX(Справочник_товаров!$C$2:$C$11,MATCH(E58,Справочник_товаров!$A$2:$A$11,0))</f>
        <v>1490</v>
      </c>
      <c r="H58" s="5">
        <v>1</v>
      </c>
      <c r="I58" s="13">
        <f t="shared" si="1"/>
        <v>1490</v>
      </c>
    </row>
    <row r="59" spans="1:9" x14ac:dyDescent="0.25">
      <c r="A59" s="5">
        <v>1057</v>
      </c>
      <c r="B59" s="5" t="s">
        <v>108</v>
      </c>
      <c r="C59" s="5" t="s">
        <v>48</v>
      </c>
      <c r="D59" s="5" t="s">
        <v>64</v>
      </c>
      <c r="E59" s="5" t="s">
        <v>25</v>
      </c>
      <c r="F59" s="7" t="str">
        <f>INDEX(Справочник_товаров!$B$2:$B$11,MATCH(E59,Справочник_товаров!$A$2:$A$11,0))</f>
        <v>Электроника</v>
      </c>
      <c r="G59" s="12">
        <f>INDEX(Справочник_товаров!$C$2:$C$11,MATCH(E59,Справочник_товаров!$A$2:$A$11,0))</f>
        <v>68990</v>
      </c>
      <c r="H59" s="5">
        <v>5</v>
      </c>
      <c r="I59" s="13">
        <f t="shared" si="1"/>
        <v>344950</v>
      </c>
    </row>
    <row r="60" spans="1:9" x14ac:dyDescent="0.25">
      <c r="A60" s="5">
        <v>1058</v>
      </c>
      <c r="B60" s="5" t="s">
        <v>109</v>
      </c>
      <c r="C60" s="5" t="s">
        <v>45</v>
      </c>
      <c r="D60" s="5" t="s">
        <v>46</v>
      </c>
      <c r="E60" s="5" t="s">
        <v>31</v>
      </c>
      <c r="F60" s="7" t="str">
        <f>INDEX(Справочник_товаров!$B$2:$B$11,MATCH(E60,Справочник_товаров!$A$2:$A$11,0))</f>
        <v>Мебель</v>
      </c>
      <c r="G60" s="12">
        <f>INDEX(Справочник_товаров!$C$2:$C$11,MATCH(E60,Справочник_товаров!$A$2:$A$11,0))</f>
        <v>12990</v>
      </c>
      <c r="H60" s="5">
        <v>5</v>
      </c>
      <c r="I60" s="13">
        <f t="shared" si="1"/>
        <v>64950</v>
      </c>
    </row>
    <row r="61" spans="1:9" x14ac:dyDescent="0.25">
      <c r="A61" s="5">
        <v>1059</v>
      </c>
      <c r="B61" s="5" t="s">
        <v>110</v>
      </c>
      <c r="C61" s="5" t="s">
        <v>58</v>
      </c>
      <c r="D61" s="5" t="s">
        <v>62</v>
      </c>
      <c r="E61" s="5" t="s">
        <v>27</v>
      </c>
      <c r="F61" s="7" t="str">
        <f>INDEX(Справочник_товаров!$B$2:$B$11,MATCH(E61,Справочник_товаров!$A$2:$A$11,0))</f>
        <v>Бытовая техника</v>
      </c>
      <c r="G61" s="12">
        <f>INDEX(Справочник_товаров!$C$2:$C$11,MATCH(E61,Справочник_товаров!$A$2:$A$11,0))</f>
        <v>15990</v>
      </c>
      <c r="H61" s="5">
        <v>3</v>
      </c>
      <c r="I61" s="13">
        <f t="shared" si="1"/>
        <v>47970</v>
      </c>
    </row>
    <row r="62" spans="1:9" x14ac:dyDescent="0.25">
      <c r="A62" s="5">
        <v>1060</v>
      </c>
      <c r="B62" s="5" t="s">
        <v>111</v>
      </c>
      <c r="C62" s="5" t="s">
        <v>58</v>
      </c>
      <c r="D62" s="5" t="s">
        <v>64</v>
      </c>
      <c r="E62" s="5" t="s">
        <v>26</v>
      </c>
      <c r="F62" s="7" t="str">
        <f>INDEX(Справочник_товаров!$B$2:$B$11,MATCH(E62,Справочник_товаров!$A$2:$A$11,0))</f>
        <v>Электроника</v>
      </c>
      <c r="G62" s="12">
        <f>INDEX(Справочник_товаров!$C$2:$C$11,MATCH(E62,Справочник_товаров!$A$2:$A$11,0))</f>
        <v>89990</v>
      </c>
      <c r="H62" s="5">
        <v>3</v>
      </c>
      <c r="I62" s="13">
        <f t="shared" si="1"/>
        <v>269970</v>
      </c>
    </row>
    <row r="63" spans="1:9" x14ac:dyDescent="0.25">
      <c r="A63" s="5">
        <v>1061</v>
      </c>
      <c r="B63" s="5" t="s">
        <v>112</v>
      </c>
      <c r="C63" s="5" t="s">
        <v>58</v>
      </c>
      <c r="D63" s="5" t="s">
        <v>46</v>
      </c>
      <c r="E63" s="5" t="s">
        <v>23</v>
      </c>
      <c r="F63" s="7" t="str">
        <f>INDEX(Справочник_товаров!$B$2:$B$11,MATCH(E63,Справочник_товаров!$A$2:$A$11,0))</f>
        <v>Электроника</v>
      </c>
      <c r="G63" s="12">
        <f>INDEX(Справочник_товаров!$C$2:$C$11,MATCH(E63,Справочник_товаров!$A$2:$A$11,0))</f>
        <v>42990</v>
      </c>
      <c r="H63" s="5">
        <v>4</v>
      </c>
      <c r="I63" s="13">
        <f t="shared" si="1"/>
        <v>171960</v>
      </c>
    </row>
    <row r="64" spans="1:9" x14ac:dyDescent="0.25">
      <c r="A64" s="5">
        <v>1062</v>
      </c>
      <c r="B64" s="5" t="s">
        <v>113</v>
      </c>
      <c r="C64" s="5" t="s">
        <v>45</v>
      </c>
      <c r="D64" s="5" t="s">
        <v>46</v>
      </c>
      <c r="E64" s="5" t="s">
        <v>34</v>
      </c>
      <c r="F64" s="7" t="str">
        <f>INDEX(Справочник_товаров!$B$2:$B$11,MATCH(E64,Справочник_товаров!$A$2:$A$11,0))</f>
        <v>Аксессуары</v>
      </c>
      <c r="G64" s="12">
        <f>INDEX(Справочник_товаров!$C$2:$C$11,MATCH(E64,Справочник_товаров!$A$2:$A$11,0))</f>
        <v>2990</v>
      </c>
      <c r="H64" s="5">
        <v>2</v>
      </c>
      <c r="I64" s="13">
        <f t="shared" si="1"/>
        <v>5980</v>
      </c>
    </row>
    <row r="65" spans="1:9" x14ac:dyDescent="0.25">
      <c r="A65" s="5">
        <v>1063</v>
      </c>
      <c r="B65" s="5" t="s">
        <v>114</v>
      </c>
      <c r="C65" s="5" t="s">
        <v>58</v>
      </c>
      <c r="D65" s="5" t="s">
        <v>53</v>
      </c>
      <c r="E65" s="5" t="s">
        <v>30</v>
      </c>
      <c r="F65" s="7" t="str">
        <f>INDEX(Справочник_товаров!$B$2:$B$11,MATCH(E65,Справочник_товаров!$A$2:$A$11,0))</f>
        <v>Бытовая техника</v>
      </c>
      <c r="G65" s="12">
        <f>INDEX(Справочник_товаров!$C$2:$C$11,MATCH(E65,Справочник_товаров!$A$2:$A$11,0))</f>
        <v>3490</v>
      </c>
      <c r="H65" s="5">
        <v>1</v>
      </c>
      <c r="I65" s="13">
        <f t="shared" si="1"/>
        <v>3490</v>
      </c>
    </row>
    <row r="66" spans="1:9" x14ac:dyDescent="0.25">
      <c r="A66" s="5">
        <v>1064</v>
      </c>
      <c r="B66" s="5" t="s">
        <v>115</v>
      </c>
      <c r="C66" s="5" t="s">
        <v>58</v>
      </c>
      <c r="D66" s="5" t="s">
        <v>62</v>
      </c>
      <c r="E66" s="5" t="s">
        <v>26</v>
      </c>
      <c r="F66" s="7" t="str">
        <f>INDEX(Справочник_товаров!$B$2:$B$11,MATCH(E66,Справочник_товаров!$A$2:$A$11,0))</f>
        <v>Электроника</v>
      </c>
      <c r="G66" s="12">
        <f>INDEX(Справочник_товаров!$C$2:$C$11,MATCH(E66,Справочник_товаров!$A$2:$A$11,0))</f>
        <v>89990</v>
      </c>
      <c r="H66" s="5">
        <v>4</v>
      </c>
      <c r="I66" s="13">
        <f t="shared" ref="I66:I97" si="2">G66*H66</f>
        <v>359960</v>
      </c>
    </row>
    <row r="67" spans="1:9" x14ac:dyDescent="0.25">
      <c r="A67" s="5">
        <v>1065</v>
      </c>
      <c r="B67" s="5" t="s">
        <v>69</v>
      </c>
      <c r="C67" s="5" t="s">
        <v>58</v>
      </c>
      <c r="D67" s="5" t="s">
        <v>46</v>
      </c>
      <c r="E67" s="5" t="s">
        <v>34</v>
      </c>
      <c r="F67" s="7" t="str">
        <f>INDEX(Справочник_товаров!$B$2:$B$11,MATCH(E67,Справочник_товаров!$A$2:$A$11,0))</f>
        <v>Аксессуары</v>
      </c>
      <c r="G67" s="12">
        <f>INDEX(Справочник_товаров!$C$2:$C$11,MATCH(E67,Справочник_товаров!$A$2:$A$11,0))</f>
        <v>2990</v>
      </c>
      <c r="H67" s="5">
        <v>3</v>
      </c>
      <c r="I67" s="13">
        <f t="shared" si="2"/>
        <v>8970</v>
      </c>
    </row>
    <row r="68" spans="1:9" x14ac:dyDescent="0.25">
      <c r="A68" s="5">
        <v>1066</v>
      </c>
      <c r="B68" s="5" t="s">
        <v>116</v>
      </c>
      <c r="C68" s="5" t="s">
        <v>45</v>
      </c>
      <c r="D68" s="5" t="s">
        <v>53</v>
      </c>
      <c r="E68" s="5" t="s">
        <v>29</v>
      </c>
      <c r="F68" s="7" t="str">
        <f>INDEX(Справочник_товаров!$B$2:$B$11,MATCH(E68,Справочник_товаров!$A$2:$A$11,0))</f>
        <v>Бытовая техника</v>
      </c>
      <c r="G68" s="12">
        <f>INDEX(Справочник_товаров!$C$2:$C$11,MATCH(E68,Справочник_товаров!$A$2:$A$11,0))</f>
        <v>9990</v>
      </c>
      <c r="H68" s="5">
        <v>1</v>
      </c>
      <c r="I68" s="13">
        <f t="shared" si="2"/>
        <v>9990</v>
      </c>
    </row>
    <row r="69" spans="1:9" x14ac:dyDescent="0.25">
      <c r="A69" s="5">
        <v>1067</v>
      </c>
      <c r="B69" s="5" t="s">
        <v>117</v>
      </c>
      <c r="C69" s="5" t="s">
        <v>48</v>
      </c>
      <c r="D69" s="5" t="s">
        <v>62</v>
      </c>
      <c r="E69" s="5" t="s">
        <v>29</v>
      </c>
      <c r="F69" s="7" t="str">
        <f>INDEX(Справочник_товаров!$B$2:$B$11,MATCH(E69,Справочник_товаров!$A$2:$A$11,0))</f>
        <v>Бытовая техника</v>
      </c>
      <c r="G69" s="12">
        <f>INDEX(Справочник_товаров!$C$2:$C$11,MATCH(E69,Справочник_товаров!$A$2:$A$11,0))</f>
        <v>9990</v>
      </c>
      <c r="H69" s="5">
        <v>5</v>
      </c>
      <c r="I69" s="13">
        <f t="shared" si="2"/>
        <v>49950</v>
      </c>
    </row>
    <row r="70" spans="1:9" x14ac:dyDescent="0.25">
      <c r="A70" s="5">
        <v>1068</v>
      </c>
      <c r="B70" s="5" t="s">
        <v>118</v>
      </c>
      <c r="C70" s="5" t="s">
        <v>58</v>
      </c>
      <c r="D70" s="5" t="s">
        <v>53</v>
      </c>
      <c r="E70" s="5" t="s">
        <v>29</v>
      </c>
      <c r="F70" s="7" t="str">
        <f>INDEX(Справочник_товаров!$B$2:$B$11,MATCH(E70,Справочник_товаров!$A$2:$A$11,0))</f>
        <v>Бытовая техника</v>
      </c>
      <c r="G70" s="12">
        <f>INDEX(Справочник_товаров!$C$2:$C$11,MATCH(E70,Справочник_товаров!$A$2:$A$11,0))</f>
        <v>9990</v>
      </c>
      <c r="H70" s="5">
        <v>5</v>
      </c>
      <c r="I70" s="13">
        <f t="shared" si="2"/>
        <v>49950</v>
      </c>
    </row>
    <row r="71" spans="1:9" x14ac:dyDescent="0.25">
      <c r="A71" s="5">
        <v>1069</v>
      </c>
      <c r="B71" s="5" t="s">
        <v>119</v>
      </c>
      <c r="C71" s="5" t="s">
        <v>58</v>
      </c>
      <c r="D71" s="5" t="s">
        <v>46</v>
      </c>
      <c r="E71" s="5" t="s">
        <v>25</v>
      </c>
      <c r="F71" s="7" t="str">
        <f>INDEX(Справочник_товаров!$B$2:$B$11,MATCH(E71,Справочник_товаров!$A$2:$A$11,0))</f>
        <v>Электроника</v>
      </c>
      <c r="G71" s="12">
        <f>INDEX(Справочник_товаров!$C$2:$C$11,MATCH(E71,Справочник_товаров!$A$2:$A$11,0))</f>
        <v>68990</v>
      </c>
      <c r="H71" s="5">
        <v>4</v>
      </c>
      <c r="I71" s="13">
        <f t="shared" si="2"/>
        <v>275960</v>
      </c>
    </row>
    <row r="72" spans="1:9" x14ac:dyDescent="0.25">
      <c r="A72" s="5">
        <v>1070</v>
      </c>
      <c r="B72" s="5" t="s">
        <v>60</v>
      </c>
      <c r="C72" s="5" t="s">
        <v>58</v>
      </c>
      <c r="D72" s="5" t="s">
        <v>46</v>
      </c>
      <c r="E72" s="5" t="s">
        <v>23</v>
      </c>
      <c r="F72" s="7" t="str">
        <f>INDEX(Справочник_товаров!$B$2:$B$11,MATCH(E72,Справочник_товаров!$A$2:$A$11,0))</f>
        <v>Электроника</v>
      </c>
      <c r="G72" s="12">
        <f>INDEX(Справочник_товаров!$C$2:$C$11,MATCH(E72,Справочник_товаров!$A$2:$A$11,0))</f>
        <v>42990</v>
      </c>
      <c r="H72" s="5">
        <v>3</v>
      </c>
      <c r="I72" s="13">
        <f t="shared" si="2"/>
        <v>128970</v>
      </c>
    </row>
    <row r="73" spans="1:9" x14ac:dyDescent="0.25">
      <c r="A73" s="5">
        <v>1071</v>
      </c>
      <c r="B73" s="5" t="s">
        <v>120</v>
      </c>
      <c r="C73" s="5" t="s">
        <v>48</v>
      </c>
      <c r="D73" s="5" t="s">
        <v>62</v>
      </c>
      <c r="E73" s="5" t="s">
        <v>26</v>
      </c>
      <c r="F73" s="7" t="str">
        <f>INDEX(Справочник_товаров!$B$2:$B$11,MATCH(E73,Справочник_товаров!$A$2:$A$11,0))</f>
        <v>Электроника</v>
      </c>
      <c r="G73" s="12">
        <f>INDEX(Справочник_товаров!$C$2:$C$11,MATCH(E73,Справочник_товаров!$A$2:$A$11,0))</f>
        <v>89990</v>
      </c>
      <c r="H73" s="5">
        <v>4</v>
      </c>
      <c r="I73" s="13">
        <f t="shared" si="2"/>
        <v>359960</v>
      </c>
    </row>
    <row r="74" spans="1:9" x14ac:dyDescent="0.25">
      <c r="A74" s="5">
        <v>1072</v>
      </c>
      <c r="B74" s="5" t="s">
        <v>121</v>
      </c>
      <c r="C74" s="5" t="s">
        <v>50</v>
      </c>
      <c r="D74" s="5" t="s">
        <v>46</v>
      </c>
      <c r="E74" s="5" t="s">
        <v>25</v>
      </c>
      <c r="F74" s="7" t="str">
        <f>INDEX(Справочник_товаров!$B$2:$B$11,MATCH(E74,Справочник_товаров!$A$2:$A$11,0))</f>
        <v>Электроника</v>
      </c>
      <c r="G74" s="12">
        <f>INDEX(Справочник_товаров!$C$2:$C$11,MATCH(E74,Справочник_товаров!$A$2:$A$11,0))</f>
        <v>68990</v>
      </c>
      <c r="H74" s="5">
        <v>1</v>
      </c>
      <c r="I74" s="13">
        <f t="shared" si="2"/>
        <v>68990</v>
      </c>
    </row>
    <row r="75" spans="1:9" x14ac:dyDescent="0.25">
      <c r="A75" s="5">
        <v>1073</v>
      </c>
      <c r="B75" s="5" t="s">
        <v>122</v>
      </c>
      <c r="C75" s="5" t="s">
        <v>48</v>
      </c>
      <c r="D75" s="5" t="s">
        <v>46</v>
      </c>
      <c r="E75" s="5" t="s">
        <v>30</v>
      </c>
      <c r="F75" s="7" t="str">
        <f>INDEX(Справочник_товаров!$B$2:$B$11,MATCH(E75,Справочник_товаров!$A$2:$A$11,0))</f>
        <v>Бытовая техника</v>
      </c>
      <c r="G75" s="12">
        <f>INDEX(Справочник_товаров!$C$2:$C$11,MATCH(E75,Справочник_товаров!$A$2:$A$11,0))</f>
        <v>3490</v>
      </c>
      <c r="H75" s="5">
        <v>5</v>
      </c>
      <c r="I75" s="13">
        <f t="shared" si="2"/>
        <v>17450</v>
      </c>
    </row>
    <row r="76" spans="1:9" x14ac:dyDescent="0.25">
      <c r="A76" s="5">
        <v>1074</v>
      </c>
      <c r="B76" s="5" t="s">
        <v>123</v>
      </c>
      <c r="C76" s="5" t="s">
        <v>48</v>
      </c>
      <c r="D76" s="5" t="s">
        <v>64</v>
      </c>
      <c r="E76" s="5" t="s">
        <v>26</v>
      </c>
      <c r="F76" s="7" t="str">
        <f>INDEX(Справочник_товаров!$B$2:$B$11,MATCH(E76,Справочник_товаров!$A$2:$A$11,0))</f>
        <v>Электроника</v>
      </c>
      <c r="G76" s="12">
        <f>INDEX(Справочник_товаров!$C$2:$C$11,MATCH(E76,Справочник_товаров!$A$2:$A$11,0))</f>
        <v>89990</v>
      </c>
      <c r="H76" s="5">
        <v>1</v>
      </c>
      <c r="I76" s="13">
        <f t="shared" si="2"/>
        <v>89990</v>
      </c>
    </row>
    <row r="77" spans="1:9" x14ac:dyDescent="0.25">
      <c r="A77" s="5">
        <v>1075</v>
      </c>
      <c r="B77" s="5" t="s">
        <v>124</v>
      </c>
      <c r="C77" s="5" t="s">
        <v>58</v>
      </c>
      <c r="D77" s="5" t="s">
        <v>46</v>
      </c>
      <c r="E77" s="5" t="s">
        <v>30</v>
      </c>
      <c r="F77" s="7" t="str">
        <f>INDEX(Справочник_товаров!$B$2:$B$11,MATCH(E77,Справочник_товаров!$A$2:$A$11,0))</f>
        <v>Бытовая техника</v>
      </c>
      <c r="G77" s="12">
        <f>INDEX(Справочник_товаров!$C$2:$C$11,MATCH(E77,Справочник_товаров!$A$2:$A$11,0))</f>
        <v>3490</v>
      </c>
      <c r="H77" s="5">
        <v>2</v>
      </c>
      <c r="I77" s="13">
        <f t="shared" si="2"/>
        <v>6980</v>
      </c>
    </row>
    <row r="78" spans="1:9" x14ac:dyDescent="0.25">
      <c r="A78" s="5">
        <v>1076</v>
      </c>
      <c r="B78" s="5" t="s">
        <v>125</v>
      </c>
      <c r="C78" s="5" t="s">
        <v>48</v>
      </c>
      <c r="D78" s="5" t="s">
        <v>46</v>
      </c>
      <c r="E78" s="5" t="s">
        <v>30</v>
      </c>
      <c r="F78" s="7" t="str">
        <f>INDEX(Справочник_товаров!$B$2:$B$11,MATCH(E78,Справочник_товаров!$A$2:$A$11,0))</f>
        <v>Бытовая техника</v>
      </c>
      <c r="G78" s="12">
        <f>INDEX(Справочник_товаров!$C$2:$C$11,MATCH(E78,Справочник_товаров!$A$2:$A$11,0))</f>
        <v>3490</v>
      </c>
      <c r="H78" s="5">
        <v>5</v>
      </c>
      <c r="I78" s="13">
        <f t="shared" si="2"/>
        <v>17450</v>
      </c>
    </row>
    <row r="79" spans="1:9" x14ac:dyDescent="0.25">
      <c r="A79" s="5">
        <v>1077</v>
      </c>
      <c r="B79" s="5" t="s">
        <v>126</v>
      </c>
      <c r="C79" s="5" t="s">
        <v>50</v>
      </c>
      <c r="D79" s="5" t="s">
        <v>53</v>
      </c>
      <c r="E79" s="5" t="s">
        <v>27</v>
      </c>
      <c r="F79" s="7" t="str">
        <f>INDEX(Справочник_товаров!$B$2:$B$11,MATCH(E79,Справочник_товаров!$A$2:$A$11,0))</f>
        <v>Бытовая техника</v>
      </c>
      <c r="G79" s="12">
        <f>INDEX(Справочник_товаров!$C$2:$C$11,MATCH(E79,Справочник_товаров!$A$2:$A$11,0))</f>
        <v>15990</v>
      </c>
      <c r="H79" s="5">
        <v>2</v>
      </c>
      <c r="I79" s="13">
        <f t="shared" si="2"/>
        <v>31980</v>
      </c>
    </row>
    <row r="80" spans="1:9" x14ac:dyDescent="0.25">
      <c r="A80" s="5">
        <v>1078</v>
      </c>
      <c r="B80" s="5" t="s">
        <v>94</v>
      </c>
      <c r="C80" s="5" t="s">
        <v>48</v>
      </c>
      <c r="D80" s="5" t="s">
        <v>64</v>
      </c>
      <c r="E80" s="5" t="s">
        <v>23</v>
      </c>
      <c r="F80" s="7" t="str">
        <f>INDEX(Справочник_товаров!$B$2:$B$11,MATCH(E80,Справочник_товаров!$A$2:$A$11,0))</f>
        <v>Электроника</v>
      </c>
      <c r="G80" s="12">
        <f>INDEX(Справочник_товаров!$C$2:$C$11,MATCH(E80,Справочник_товаров!$A$2:$A$11,0))</f>
        <v>42990</v>
      </c>
      <c r="H80" s="5">
        <v>2</v>
      </c>
      <c r="I80" s="13">
        <f t="shared" si="2"/>
        <v>85980</v>
      </c>
    </row>
    <row r="81" spans="1:9" x14ac:dyDescent="0.25">
      <c r="A81" s="5">
        <v>1079</v>
      </c>
      <c r="B81" s="5" t="s">
        <v>127</v>
      </c>
      <c r="C81" s="5" t="s">
        <v>58</v>
      </c>
      <c r="D81" s="5" t="s">
        <v>64</v>
      </c>
      <c r="E81" s="5" t="s">
        <v>27</v>
      </c>
      <c r="F81" s="7" t="str">
        <f>INDEX(Справочник_товаров!$B$2:$B$11,MATCH(E81,Справочник_товаров!$A$2:$A$11,0))</f>
        <v>Бытовая техника</v>
      </c>
      <c r="G81" s="12">
        <f>INDEX(Справочник_товаров!$C$2:$C$11,MATCH(E81,Справочник_товаров!$A$2:$A$11,0))</f>
        <v>15990</v>
      </c>
      <c r="H81" s="5">
        <v>3</v>
      </c>
      <c r="I81" s="13">
        <f t="shared" si="2"/>
        <v>47970</v>
      </c>
    </row>
    <row r="82" spans="1:9" x14ac:dyDescent="0.25">
      <c r="A82" s="5">
        <v>1080</v>
      </c>
      <c r="B82" s="5" t="s">
        <v>128</v>
      </c>
      <c r="C82" s="5" t="s">
        <v>45</v>
      </c>
      <c r="D82" s="5" t="s">
        <v>64</v>
      </c>
      <c r="E82" s="5" t="s">
        <v>23</v>
      </c>
      <c r="F82" s="7" t="str">
        <f>INDEX(Справочник_товаров!$B$2:$B$11,MATCH(E82,Справочник_товаров!$A$2:$A$11,0))</f>
        <v>Электроника</v>
      </c>
      <c r="G82" s="12">
        <f>INDEX(Справочник_товаров!$C$2:$C$11,MATCH(E82,Справочник_товаров!$A$2:$A$11,0))</f>
        <v>42990</v>
      </c>
      <c r="H82" s="5">
        <v>4</v>
      </c>
      <c r="I82" s="13">
        <f t="shared" si="2"/>
        <v>171960</v>
      </c>
    </row>
    <row r="83" spans="1:9" x14ac:dyDescent="0.25">
      <c r="A83" s="5">
        <v>1081</v>
      </c>
      <c r="B83" s="5" t="s">
        <v>129</v>
      </c>
      <c r="C83" s="5" t="s">
        <v>48</v>
      </c>
      <c r="D83" s="5" t="s">
        <v>64</v>
      </c>
      <c r="E83" s="5" t="s">
        <v>30</v>
      </c>
      <c r="F83" s="7" t="str">
        <f>INDEX(Справочник_товаров!$B$2:$B$11,MATCH(E83,Справочник_товаров!$A$2:$A$11,0))</f>
        <v>Бытовая техника</v>
      </c>
      <c r="G83" s="12">
        <f>INDEX(Справочник_товаров!$C$2:$C$11,MATCH(E83,Справочник_товаров!$A$2:$A$11,0))</f>
        <v>3490</v>
      </c>
      <c r="H83" s="5">
        <v>3</v>
      </c>
      <c r="I83" s="13">
        <f t="shared" si="2"/>
        <v>10470</v>
      </c>
    </row>
    <row r="84" spans="1:9" x14ac:dyDescent="0.25">
      <c r="A84" s="5">
        <v>1082</v>
      </c>
      <c r="B84" s="5" t="s">
        <v>60</v>
      </c>
      <c r="C84" s="5" t="s">
        <v>48</v>
      </c>
      <c r="D84" s="5" t="s">
        <v>53</v>
      </c>
      <c r="E84" s="5" t="s">
        <v>23</v>
      </c>
      <c r="F84" s="7" t="str">
        <f>INDEX(Справочник_товаров!$B$2:$B$11,MATCH(E84,Справочник_товаров!$A$2:$A$11,0))</f>
        <v>Электроника</v>
      </c>
      <c r="G84" s="12">
        <f>INDEX(Справочник_товаров!$C$2:$C$11,MATCH(E84,Справочник_товаров!$A$2:$A$11,0))</f>
        <v>42990</v>
      </c>
      <c r="H84" s="5">
        <v>2</v>
      </c>
      <c r="I84" s="13">
        <f t="shared" si="2"/>
        <v>85980</v>
      </c>
    </row>
    <row r="85" spans="1:9" x14ac:dyDescent="0.25">
      <c r="A85" s="5">
        <v>1083</v>
      </c>
      <c r="B85" s="5" t="s">
        <v>130</v>
      </c>
      <c r="C85" s="5" t="s">
        <v>58</v>
      </c>
      <c r="D85" s="5" t="s">
        <v>62</v>
      </c>
      <c r="E85" s="5" t="s">
        <v>25</v>
      </c>
      <c r="F85" s="7" t="str">
        <f>INDEX(Справочник_товаров!$B$2:$B$11,MATCH(E85,Справочник_товаров!$A$2:$A$11,0))</f>
        <v>Электроника</v>
      </c>
      <c r="G85" s="12">
        <f>INDEX(Справочник_товаров!$C$2:$C$11,MATCH(E85,Справочник_товаров!$A$2:$A$11,0))</f>
        <v>68990</v>
      </c>
      <c r="H85" s="5">
        <v>3</v>
      </c>
      <c r="I85" s="13">
        <f t="shared" si="2"/>
        <v>206970</v>
      </c>
    </row>
    <row r="86" spans="1:9" x14ac:dyDescent="0.25">
      <c r="A86" s="5">
        <v>1084</v>
      </c>
      <c r="B86" s="5" t="s">
        <v>131</v>
      </c>
      <c r="C86" s="5" t="s">
        <v>50</v>
      </c>
      <c r="D86" s="5" t="s">
        <v>62</v>
      </c>
      <c r="E86" s="5" t="s">
        <v>23</v>
      </c>
      <c r="F86" s="7" t="str">
        <f>INDEX(Справочник_товаров!$B$2:$B$11,MATCH(E86,Справочник_товаров!$A$2:$A$11,0))</f>
        <v>Электроника</v>
      </c>
      <c r="G86" s="12">
        <f>INDEX(Справочник_товаров!$C$2:$C$11,MATCH(E86,Справочник_товаров!$A$2:$A$11,0))</f>
        <v>42990</v>
      </c>
      <c r="H86" s="5">
        <v>1</v>
      </c>
      <c r="I86" s="13">
        <f t="shared" si="2"/>
        <v>42990</v>
      </c>
    </row>
    <row r="87" spans="1:9" x14ac:dyDescent="0.25">
      <c r="A87" s="5">
        <v>1085</v>
      </c>
      <c r="B87" s="5" t="s">
        <v>132</v>
      </c>
      <c r="C87" s="5" t="s">
        <v>48</v>
      </c>
      <c r="D87" s="5" t="s">
        <v>62</v>
      </c>
      <c r="E87" s="5" t="s">
        <v>23</v>
      </c>
      <c r="F87" s="7" t="str">
        <f>INDEX(Справочник_товаров!$B$2:$B$11,MATCH(E87,Справочник_товаров!$A$2:$A$11,0))</f>
        <v>Электроника</v>
      </c>
      <c r="G87" s="12">
        <f>INDEX(Справочник_товаров!$C$2:$C$11,MATCH(E87,Справочник_товаров!$A$2:$A$11,0))</f>
        <v>42990</v>
      </c>
      <c r="H87" s="5">
        <v>1</v>
      </c>
      <c r="I87" s="13">
        <f t="shared" si="2"/>
        <v>42990</v>
      </c>
    </row>
    <row r="88" spans="1:9" x14ac:dyDescent="0.25">
      <c r="A88" s="5">
        <v>1086</v>
      </c>
      <c r="B88" s="5" t="s">
        <v>113</v>
      </c>
      <c r="C88" s="5" t="s">
        <v>50</v>
      </c>
      <c r="D88" s="5" t="s">
        <v>62</v>
      </c>
      <c r="E88" s="5" t="s">
        <v>30</v>
      </c>
      <c r="F88" s="7" t="str">
        <f>INDEX(Справочник_товаров!$B$2:$B$11,MATCH(E88,Справочник_товаров!$A$2:$A$11,0))</f>
        <v>Бытовая техника</v>
      </c>
      <c r="G88" s="12">
        <f>INDEX(Справочник_товаров!$C$2:$C$11,MATCH(E88,Справочник_товаров!$A$2:$A$11,0))</f>
        <v>3490</v>
      </c>
      <c r="H88" s="5">
        <v>4</v>
      </c>
      <c r="I88" s="13">
        <f t="shared" si="2"/>
        <v>13960</v>
      </c>
    </row>
    <row r="89" spans="1:9" x14ac:dyDescent="0.25">
      <c r="A89" s="5">
        <v>1087</v>
      </c>
      <c r="B89" s="5" t="s">
        <v>133</v>
      </c>
      <c r="C89" s="5" t="s">
        <v>45</v>
      </c>
      <c r="D89" s="5" t="s">
        <v>64</v>
      </c>
      <c r="E89" s="5" t="s">
        <v>36</v>
      </c>
      <c r="F89" s="7" t="str">
        <f>INDEX(Справочник_товаров!$B$2:$B$11,MATCH(E89,Справочник_товаров!$A$2:$A$11,0))</f>
        <v>Аксессуары</v>
      </c>
      <c r="G89" s="12">
        <f>INDEX(Справочник_товаров!$C$2:$C$11,MATCH(E89,Справочник_товаров!$A$2:$A$11,0))</f>
        <v>1490</v>
      </c>
      <c r="H89" s="5">
        <v>2</v>
      </c>
      <c r="I89" s="13">
        <f t="shared" si="2"/>
        <v>2980</v>
      </c>
    </row>
    <row r="90" spans="1:9" x14ac:dyDescent="0.25">
      <c r="A90" s="5">
        <v>1088</v>
      </c>
      <c r="B90" s="5" t="s">
        <v>68</v>
      </c>
      <c r="C90" s="5" t="s">
        <v>45</v>
      </c>
      <c r="D90" s="5" t="s">
        <v>64</v>
      </c>
      <c r="E90" s="5" t="s">
        <v>23</v>
      </c>
      <c r="F90" s="7" t="str">
        <f>INDEX(Справочник_товаров!$B$2:$B$11,MATCH(E90,Справочник_товаров!$A$2:$A$11,0))</f>
        <v>Электроника</v>
      </c>
      <c r="G90" s="12">
        <f>INDEX(Справочник_товаров!$C$2:$C$11,MATCH(E90,Справочник_товаров!$A$2:$A$11,0))</f>
        <v>42990</v>
      </c>
      <c r="H90" s="5">
        <v>5</v>
      </c>
      <c r="I90" s="13">
        <f t="shared" si="2"/>
        <v>214950</v>
      </c>
    </row>
    <row r="91" spans="1:9" x14ac:dyDescent="0.25">
      <c r="A91" s="5">
        <v>1089</v>
      </c>
      <c r="B91" s="5" t="s">
        <v>134</v>
      </c>
      <c r="C91" s="5" t="s">
        <v>48</v>
      </c>
      <c r="D91" s="5" t="s">
        <v>62</v>
      </c>
      <c r="E91" s="5" t="s">
        <v>31</v>
      </c>
      <c r="F91" s="7" t="str">
        <f>INDEX(Справочник_товаров!$B$2:$B$11,MATCH(E91,Справочник_товаров!$A$2:$A$11,0))</f>
        <v>Мебель</v>
      </c>
      <c r="G91" s="12">
        <f>INDEX(Справочник_товаров!$C$2:$C$11,MATCH(E91,Справочник_товаров!$A$2:$A$11,0))</f>
        <v>12990</v>
      </c>
      <c r="H91" s="5">
        <v>1</v>
      </c>
      <c r="I91" s="13">
        <f t="shared" si="2"/>
        <v>12990</v>
      </c>
    </row>
    <row r="93" spans="1:9" x14ac:dyDescent="0.25">
      <c r="A93" s="21" t="s">
        <v>135</v>
      </c>
      <c r="B93" s="22"/>
      <c r="C93" s="22"/>
      <c r="D93" s="22"/>
      <c r="E93" s="22"/>
      <c r="F93" s="22"/>
      <c r="G93" s="22"/>
      <c r="H93" s="22"/>
      <c r="I93" s="22"/>
    </row>
  </sheetData>
  <mergeCells count="1">
    <mergeCell ref="A93:I9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9"/>
  <sheetViews>
    <sheetView workbookViewId="0"/>
  </sheetViews>
  <sheetFormatPr defaultRowHeight="15" x14ac:dyDescent="0.25"/>
  <cols>
    <col min="1" max="1" width="20" customWidth="1"/>
    <col min="2" max="3" width="16" customWidth="1"/>
    <col min="4" max="6" width="12" customWidth="1"/>
  </cols>
  <sheetData>
    <row r="1" spans="1:8" ht="17.25" x14ac:dyDescent="0.3">
      <c r="A1" s="23" t="s">
        <v>136</v>
      </c>
      <c r="B1" s="22"/>
      <c r="C1" s="22"/>
      <c r="D1" s="22"/>
      <c r="E1" s="22"/>
      <c r="F1" s="22"/>
    </row>
    <row r="3" spans="1:8" x14ac:dyDescent="0.25">
      <c r="A3" s="21" t="s">
        <v>137</v>
      </c>
      <c r="B3" s="22"/>
      <c r="C3" s="22"/>
      <c r="D3" s="22"/>
      <c r="E3" s="22"/>
      <c r="F3" s="22"/>
      <c r="G3" s="22"/>
      <c r="H3" s="22"/>
    </row>
    <row r="5" spans="1:8" x14ac:dyDescent="0.25">
      <c r="A5" s="3" t="s">
        <v>138</v>
      </c>
    </row>
    <row r="6" spans="1:8" x14ac:dyDescent="0.25">
      <c r="A6" s="3" t="s">
        <v>139</v>
      </c>
      <c r="B6" s="3" t="s">
        <v>24</v>
      </c>
      <c r="C6" s="3" t="s">
        <v>28</v>
      </c>
      <c r="D6" s="3" t="s">
        <v>32</v>
      </c>
      <c r="E6" s="3" t="s">
        <v>35</v>
      </c>
    </row>
    <row r="7" spans="1:8" x14ac:dyDescent="0.25">
      <c r="A7" s="3" t="s">
        <v>45</v>
      </c>
      <c r="B7" s="14"/>
      <c r="C7" s="14"/>
      <c r="D7" s="14"/>
      <c r="E7" s="14"/>
    </row>
    <row r="8" spans="1:8" x14ac:dyDescent="0.25">
      <c r="A8" s="3" t="s">
        <v>48</v>
      </c>
      <c r="B8" s="14"/>
      <c r="C8" s="14"/>
      <c r="D8" s="14"/>
      <c r="E8" s="14"/>
    </row>
    <row r="9" spans="1:8" x14ac:dyDescent="0.25">
      <c r="A9" s="3" t="s">
        <v>58</v>
      </c>
      <c r="B9" s="14"/>
      <c r="C9" s="14"/>
      <c r="D9" s="14"/>
      <c r="E9" s="14"/>
    </row>
    <row r="10" spans="1:8" x14ac:dyDescent="0.25">
      <c r="A10" s="3" t="s">
        <v>50</v>
      </c>
      <c r="B10" s="14"/>
      <c r="C10" s="14"/>
      <c r="D10" s="14"/>
      <c r="E10" s="14"/>
    </row>
    <row r="12" spans="1:8" x14ac:dyDescent="0.25">
      <c r="A12" s="3" t="s">
        <v>140</v>
      </c>
    </row>
    <row r="13" spans="1:8" x14ac:dyDescent="0.25">
      <c r="A13" s="9" t="s">
        <v>139</v>
      </c>
      <c r="B13" s="9" t="s">
        <v>24</v>
      </c>
      <c r="C13" s="9" t="s">
        <v>28</v>
      </c>
      <c r="D13" s="9" t="s">
        <v>32</v>
      </c>
      <c r="E13" s="9" t="s">
        <v>35</v>
      </c>
    </row>
    <row r="14" spans="1:8" x14ac:dyDescent="0.25">
      <c r="A14" s="3" t="s">
        <v>45</v>
      </c>
      <c r="B14" s="15">
        <f>SUMIFS(Данные_продажи!$I$2:$I$91,Данные_продажи!$C$2:$C$91,$A14,Данные_продажи!$F$2:$F$91,B$13)</f>
        <v>738850</v>
      </c>
      <c r="C14" s="15">
        <f>SUMIFS(Данные_продажи!$I$2:$I$91,Данные_продажи!$C$2:$C$91,$A14,Данные_продажи!$F$2:$F$91,C$13)</f>
        <v>127340</v>
      </c>
      <c r="D14" s="15">
        <f>SUMIFS(Данные_продажи!$I$2:$I$91,Данные_продажи!$C$2:$C$91,$A14,Данные_продажи!$F$2:$F$91,D$13)</f>
        <v>142890</v>
      </c>
      <c r="E14" s="15">
        <f>SUMIFS(Данные_продажи!$I$2:$I$91,Данные_продажи!$C$2:$C$91,$A14,Данные_продажи!$F$2:$F$91,E$13)</f>
        <v>13440</v>
      </c>
    </row>
    <row r="15" spans="1:8" x14ac:dyDescent="0.25">
      <c r="A15" s="3" t="s">
        <v>48</v>
      </c>
      <c r="B15" s="15">
        <f>SUMIFS(Данные_продажи!$I$2:$I$91,Данные_продажи!$C$2:$C$91,$A15,Данные_продажи!$F$2:$F$91,B$13)</f>
        <v>1388780</v>
      </c>
      <c r="C15" s="15">
        <f>SUMIFS(Данные_продажи!$I$2:$I$91,Данные_продажи!$C$2:$C$91,$A15,Данные_продажи!$F$2:$F$91,C$13)</f>
        <v>226730</v>
      </c>
      <c r="D15" s="15">
        <f>SUMIFS(Данные_продажи!$I$2:$I$91,Данные_продажи!$C$2:$C$91,$A15,Данные_продажи!$F$2:$F$91,D$13)</f>
        <v>214890</v>
      </c>
      <c r="E15" s="15">
        <f>SUMIFS(Данные_продажи!$I$2:$I$91,Данные_продажи!$C$2:$C$91,$A15,Данные_продажи!$F$2:$F$91,E$13)</f>
        <v>37330</v>
      </c>
    </row>
    <row r="16" spans="1:8" x14ac:dyDescent="0.25">
      <c r="A16" s="3" t="s">
        <v>58</v>
      </c>
      <c r="B16" s="15">
        <f>SUMIFS(Данные_продажи!$I$2:$I$91,Данные_продажи!$C$2:$C$91,$A16,Данные_продажи!$F$2:$F$91,B$13)</f>
        <v>1967700</v>
      </c>
      <c r="C16" s="15">
        <f>SUMIFS(Данные_продажи!$I$2:$I$91,Данные_продажи!$C$2:$C$91,$A16,Данные_продажи!$F$2:$F$91,C$13)</f>
        <v>212770</v>
      </c>
      <c r="D16" s="15">
        <f>SUMIFS(Данные_продажи!$I$2:$I$91,Данные_продажи!$C$2:$C$91,$A16,Данные_продажи!$F$2:$F$91,D$13)</f>
        <v>124950</v>
      </c>
      <c r="E16" s="15">
        <f>SUMIFS(Данные_продажи!$I$2:$I$91,Данные_продажи!$C$2:$C$91,$A16,Данные_продажи!$F$2:$F$91,E$13)</f>
        <v>28350</v>
      </c>
    </row>
    <row r="17" spans="1:6" x14ac:dyDescent="0.25">
      <c r="A17" s="3" t="s">
        <v>50</v>
      </c>
      <c r="B17" s="15">
        <f>SUMIFS(Данные_продажи!$I$2:$I$91,Данные_продажи!$C$2:$C$91,$A17,Данные_продажи!$F$2:$F$91,B$13)</f>
        <v>679900</v>
      </c>
      <c r="C17" s="15">
        <f>SUMIFS(Данные_продажи!$I$2:$I$91,Данные_продажи!$C$2:$C$91,$A17,Данные_продажи!$F$2:$F$91,C$13)</f>
        <v>158320</v>
      </c>
      <c r="D17" s="15">
        <f>SUMIFS(Данные_продажи!$I$2:$I$91,Данные_продажи!$C$2:$C$91,$A17,Данные_продажи!$F$2:$F$91,D$13)</f>
        <v>279840</v>
      </c>
      <c r="E17" s="15">
        <f>SUMIFS(Данные_продажи!$I$2:$I$91,Данные_продажи!$C$2:$C$91,$A17,Данные_продажи!$F$2:$F$91,E$13)</f>
        <v>23920</v>
      </c>
    </row>
    <row r="19" spans="1:6" x14ac:dyDescent="0.25">
      <c r="A19" s="21" t="s">
        <v>141</v>
      </c>
      <c r="B19" s="22"/>
      <c r="C19" s="22"/>
      <c r="D19" s="22"/>
      <c r="E19" s="22"/>
      <c r="F19" s="22"/>
    </row>
  </sheetData>
  <mergeCells count="3">
    <mergeCell ref="A19:F19"/>
    <mergeCell ref="A3:H3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5"/>
  <sheetViews>
    <sheetView workbookViewId="0"/>
  </sheetViews>
  <sheetFormatPr defaultRowHeight="15" x14ac:dyDescent="0.25"/>
  <cols>
    <col min="1" max="1" width="10" customWidth="1"/>
    <col min="2" max="2" width="14" customWidth="1"/>
  </cols>
  <sheetData>
    <row r="1" spans="1:6" ht="17.25" x14ac:dyDescent="0.3">
      <c r="A1" s="23" t="s">
        <v>142</v>
      </c>
      <c r="B1" s="22"/>
      <c r="C1" s="22"/>
      <c r="D1" s="22"/>
      <c r="E1" s="22"/>
      <c r="F1" s="22"/>
    </row>
    <row r="3" spans="1:6" x14ac:dyDescent="0.25">
      <c r="A3" s="3" t="s">
        <v>143</v>
      </c>
    </row>
    <row r="4" spans="1:6" x14ac:dyDescent="0.25">
      <c r="A4" s="9" t="s">
        <v>40</v>
      </c>
      <c r="B4" s="9" t="s">
        <v>144</v>
      </c>
    </row>
    <row r="5" spans="1:6" x14ac:dyDescent="0.25">
      <c r="A5" s="6" t="s">
        <v>45</v>
      </c>
      <c r="B5" s="12">
        <f>SUMIFS(Данные_продажи!$I$2:$I$91,Данные_продажи!$C$2:$C$91,A5)</f>
        <v>1022520</v>
      </c>
    </row>
    <row r="6" spans="1:6" x14ac:dyDescent="0.25">
      <c r="A6" s="6" t="s">
        <v>48</v>
      </c>
      <c r="B6" s="12">
        <f>SUMIFS(Данные_продажи!$I$2:$I$91,Данные_продажи!$C$2:$C$91,A6)</f>
        <v>1867730</v>
      </c>
    </row>
    <row r="7" spans="1:6" x14ac:dyDescent="0.25">
      <c r="A7" s="6" t="s">
        <v>58</v>
      </c>
      <c r="B7" s="12">
        <f>SUMIFS(Данные_продажи!$I$2:$I$91,Данные_продажи!$C$2:$C$91,A7)</f>
        <v>2333770</v>
      </c>
    </row>
    <row r="8" spans="1:6" x14ac:dyDescent="0.25">
      <c r="A8" s="6" t="s">
        <v>50</v>
      </c>
      <c r="B8" s="12">
        <f>SUMIFS(Данные_продажи!$I$2:$I$91,Данные_продажи!$C$2:$C$91,A8)</f>
        <v>1141980</v>
      </c>
    </row>
    <row r="21" spans="1:4" x14ac:dyDescent="0.25">
      <c r="A21" s="3" t="s">
        <v>145</v>
      </c>
      <c r="D21" s="11" t="s">
        <v>146</v>
      </c>
    </row>
    <row r="22" spans="1:4" x14ac:dyDescent="0.25">
      <c r="A22" s="9" t="s">
        <v>147</v>
      </c>
      <c r="B22" s="9" t="s">
        <v>144</v>
      </c>
    </row>
    <row r="23" spans="1:4" x14ac:dyDescent="0.25">
      <c r="A23" s="6" t="s">
        <v>148</v>
      </c>
      <c r="B23" s="12">
        <f>SUMPRODUCT((MONTH(Данные_продажи!$B$2:$B$91)=1)*Данные_продажи!$I$2:$I$91)</f>
        <v>479850</v>
      </c>
    </row>
    <row r="24" spans="1:4" x14ac:dyDescent="0.25">
      <c r="A24" s="6" t="s">
        <v>149</v>
      </c>
      <c r="B24" s="12">
        <f>SUMPRODUCT((MONTH(Данные_продажи!$B$2:$B$91)=2)*Данные_продажи!$I$2:$I$91)</f>
        <v>308760</v>
      </c>
    </row>
    <row r="25" spans="1:4" x14ac:dyDescent="0.25">
      <c r="A25" s="6" t="s">
        <v>150</v>
      </c>
      <c r="B25" s="12">
        <f>SUMPRODUCT((MONTH(Данные_продажи!$B$2:$B$91)=3)*Данные_продажи!$I$2:$I$91)</f>
        <v>335860</v>
      </c>
    </row>
    <row r="26" spans="1:4" x14ac:dyDescent="0.25">
      <c r="A26" s="6" t="s">
        <v>151</v>
      </c>
      <c r="B26" s="12">
        <f>SUMPRODUCT((MONTH(Данные_продажи!$B$2:$B$91)=4)*Данные_продажи!$I$2:$I$91)</f>
        <v>165830</v>
      </c>
    </row>
    <row r="27" spans="1:4" x14ac:dyDescent="0.25">
      <c r="A27" s="6" t="s">
        <v>152</v>
      </c>
      <c r="B27" s="12">
        <f>SUMPRODUCT((MONTH(Данные_продажи!$B$2:$B$91)=5)*Данные_продажи!$I$2:$I$91)</f>
        <v>1303220</v>
      </c>
    </row>
    <row r="28" spans="1:4" x14ac:dyDescent="0.25">
      <c r="A28" s="6" t="s">
        <v>153</v>
      </c>
      <c r="B28" s="12">
        <f>SUMPRODUCT((MONTH(Данные_продажи!$B$2:$B$91)=6)*Данные_продажи!$I$2:$I$91)</f>
        <v>207760</v>
      </c>
    </row>
    <row r="29" spans="1:4" x14ac:dyDescent="0.25">
      <c r="A29" s="6" t="s">
        <v>154</v>
      </c>
      <c r="B29" s="12">
        <f>SUMPRODUCT((MONTH(Данные_продажи!$B$2:$B$91)=7)*Данные_продажи!$I$2:$I$91)</f>
        <v>457830</v>
      </c>
    </row>
    <row r="30" spans="1:4" x14ac:dyDescent="0.25">
      <c r="A30" s="6" t="s">
        <v>155</v>
      </c>
      <c r="B30" s="12">
        <f>SUMPRODUCT((MONTH(Данные_продажи!$B$2:$B$91)=8)*Данные_продажи!$I$2:$I$91)</f>
        <v>184810</v>
      </c>
    </row>
    <row r="31" spans="1:4" x14ac:dyDescent="0.25">
      <c r="A31" s="6" t="s">
        <v>156</v>
      </c>
      <c r="B31" s="12">
        <f>SUMPRODUCT((MONTH(Данные_продажи!$B$2:$B$91)=9)*Данные_продажи!$I$2:$I$91)</f>
        <v>532250</v>
      </c>
    </row>
    <row r="32" spans="1:4" x14ac:dyDescent="0.25">
      <c r="A32" s="6" t="s">
        <v>157</v>
      </c>
      <c r="B32" s="12">
        <f>SUMPRODUCT((MONTH(Данные_продажи!$B$2:$B$91)=10)*Данные_продажи!$I$2:$I$91)</f>
        <v>734240</v>
      </c>
    </row>
    <row r="33" spans="1:6" x14ac:dyDescent="0.25">
      <c r="A33" s="6" t="s">
        <v>158</v>
      </c>
      <c r="B33" s="12">
        <f>SUMPRODUCT((MONTH(Данные_продажи!$B$2:$B$91)=11)*Данные_продажи!$I$2:$I$91)</f>
        <v>560830</v>
      </c>
    </row>
    <row r="34" spans="1:6" x14ac:dyDescent="0.25">
      <c r="A34" s="6" t="s">
        <v>159</v>
      </c>
      <c r="B34" s="12">
        <f>SUMPRODUCT((MONTH(Данные_продажи!$B$2:$B$91)=12)*Данные_продажи!$I$2:$I$91)</f>
        <v>1094760</v>
      </c>
    </row>
    <row r="35" spans="1:6" x14ac:dyDescent="0.25">
      <c r="A35" s="21" t="s">
        <v>160</v>
      </c>
      <c r="B35" s="22"/>
      <c r="C35" s="22"/>
      <c r="D35" s="22"/>
      <c r="E35" s="22"/>
      <c r="F35" s="22"/>
    </row>
  </sheetData>
  <mergeCells count="2">
    <mergeCell ref="A1:F1"/>
    <mergeCell ref="A35:F35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3"/>
  <sheetViews>
    <sheetView workbookViewId="0"/>
  </sheetViews>
  <sheetFormatPr defaultRowHeight="15" x14ac:dyDescent="0.25"/>
  <cols>
    <col min="1" max="1" width="10" customWidth="1"/>
    <col min="2" max="2" width="12" customWidth="1"/>
    <col min="3" max="3" width="8" customWidth="1"/>
    <col min="4" max="5" width="10" customWidth="1"/>
    <col min="6" max="6" width="13" customWidth="1"/>
  </cols>
  <sheetData>
    <row r="1" spans="1:14" x14ac:dyDescent="0.25">
      <c r="A1" s="9" t="s">
        <v>38</v>
      </c>
      <c r="B1" s="9" t="s">
        <v>20</v>
      </c>
      <c r="C1" s="9" t="s">
        <v>42</v>
      </c>
      <c r="D1" s="9" t="s">
        <v>22</v>
      </c>
      <c r="E1" s="9" t="s">
        <v>43</v>
      </c>
      <c r="F1" s="9" t="s">
        <v>161</v>
      </c>
      <c r="H1" s="24" t="s">
        <v>162</v>
      </c>
      <c r="I1" s="22"/>
      <c r="J1" s="22"/>
      <c r="K1" s="22"/>
      <c r="L1" s="22"/>
      <c r="M1" s="22"/>
      <c r="N1" s="22"/>
    </row>
    <row r="2" spans="1:14" x14ac:dyDescent="0.25">
      <c r="A2" s="5">
        <v>2001</v>
      </c>
      <c r="B2" s="5" t="s">
        <v>23</v>
      </c>
      <c r="C2" s="5">
        <v>2</v>
      </c>
      <c r="D2" s="16">
        <f>INDEX(Справочник_товаров!$C$2:$C$11,MATCH(B2,Справочник_товаров!$A$2:$A$11,0))</f>
        <v>42990</v>
      </c>
      <c r="E2" s="17">
        <f>D2*C2</f>
        <v>85980</v>
      </c>
      <c r="F2" s="18" t="str">
        <f>IF(E2&gt;50000,"Крупный",IF(E2&gt;10000,"Средний","Малый"))</f>
        <v>Крупный</v>
      </c>
      <c r="H2" s="22"/>
      <c r="I2" s="22"/>
      <c r="J2" s="22"/>
      <c r="K2" s="22"/>
      <c r="L2" s="22"/>
      <c r="M2" s="22"/>
      <c r="N2" s="22"/>
    </row>
    <row r="3" spans="1:14" x14ac:dyDescent="0.25">
      <c r="A3" s="5">
        <v>2002</v>
      </c>
      <c r="B3" s="5" t="s">
        <v>25</v>
      </c>
      <c r="C3" s="5">
        <v>1</v>
      </c>
      <c r="D3" s="14"/>
      <c r="E3" s="14"/>
      <c r="F3" s="14"/>
      <c r="H3" s="22"/>
      <c r="I3" s="22"/>
      <c r="J3" s="22"/>
      <c r="K3" s="22"/>
      <c r="L3" s="22"/>
      <c r="M3" s="22"/>
      <c r="N3" s="22"/>
    </row>
    <row r="4" spans="1:14" x14ac:dyDescent="0.25">
      <c r="A4" s="5">
        <v>2003</v>
      </c>
      <c r="B4" s="5" t="s">
        <v>26</v>
      </c>
      <c r="C4" s="5">
        <v>3</v>
      </c>
      <c r="D4" s="14"/>
      <c r="E4" s="14"/>
      <c r="F4" s="14"/>
      <c r="H4" s="22"/>
      <c r="I4" s="22"/>
      <c r="J4" s="22"/>
      <c r="K4" s="22"/>
      <c r="L4" s="22"/>
      <c r="M4" s="22"/>
      <c r="N4" s="22"/>
    </row>
    <row r="5" spans="1:14" x14ac:dyDescent="0.25">
      <c r="A5" s="5">
        <v>2004</v>
      </c>
      <c r="B5" s="5" t="s">
        <v>27</v>
      </c>
      <c r="C5" s="5">
        <v>1</v>
      </c>
      <c r="D5" s="14"/>
      <c r="E5" s="14"/>
      <c r="F5" s="14"/>
    </row>
    <row r="6" spans="1:14" x14ac:dyDescent="0.25">
      <c r="A6" s="5">
        <v>2005</v>
      </c>
      <c r="B6" s="5" t="s">
        <v>29</v>
      </c>
      <c r="C6" s="5">
        <v>4</v>
      </c>
      <c r="D6" s="14"/>
      <c r="E6" s="14"/>
      <c r="F6" s="14"/>
    </row>
    <row r="7" spans="1:14" x14ac:dyDescent="0.25">
      <c r="A7" s="5">
        <v>2006</v>
      </c>
      <c r="B7" s="5" t="s">
        <v>30</v>
      </c>
      <c r="C7" s="5">
        <v>2</v>
      </c>
      <c r="D7" s="14"/>
      <c r="E7" s="14"/>
      <c r="F7" s="14"/>
    </row>
    <row r="8" spans="1:14" x14ac:dyDescent="0.25">
      <c r="A8" s="5">
        <v>2007</v>
      </c>
      <c r="B8" s="5" t="s">
        <v>31</v>
      </c>
      <c r="C8" s="5">
        <v>1</v>
      </c>
      <c r="D8" s="14"/>
      <c r="E8" s="14"/>
      <c r="F8" s="14"/>
    </row>
    <row r="9" spans="1:14" x14ac:dyDescent="0.25">
      <c r="A9" s="5">
        <v>2008</v>
      </c>
      <c r="B9" s="5" t="s">
        <v>33</v>
      </c>
      <c r="C9" s="5">
        <v>5</v>
      </c>
      <c r="D9" s="14"/>
      <c r="E9" s="14"/>
      <c r="F9" s="14"/>
    </row>
    <row r="10" spans="1:14" x14ac:dyDescent="0.25">
      <c r="A10" s="5">
        <v>2009</v>
      </c>
      <c r="B10" s="5" t="s">
        <v>34</v>
      </c>
      <c r="C10" s="5">
        <v>2</v>
      </c>
      <c r="D10" s="14"/>
      <c r="E10" s="14"/>
      <c r="F10" s="14"/>
    </row>
    <row r="11" spans="1:14" x14ac:dyDescent="0.25">
      <c r="A11" s="5">
        <v>2010</v>
      </c>
      <c r="B11" s="5" t="s">
        <v>36</v>
      </c>
      <c r="C11" s="5">
        <v>3</v>
      </c>
      <c r="D11" s="14"/>
      <c r="E11" s="14"/>
      <c r="F11" s="14"/>
    </row>
    <row r="13" spans="1:14" x14ac:dyDescent="0.25">
      <c r="A13" s="21" t="s">
        <v>163</v>
      </c>
      <c r="B13" s="22"/>
      <c r="C13" s="22"/>
      <c r="D13" s="22"/>
      <c r="E13" s="22"/>
      <c r="F13" s="22"/>
    </row>
  </sheetData>
  <mergeCells count="2">
    <mergeCell ref="A13:F13"/>
    <mergeCell ref="H1:N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13"/>
  <sheetViews>
    <sheetView workbookViewId="0"/>
  </sheetViews>
  <sheetFormatPr defaultRowHeight="15" x14ac:dyDescent="0.25"/>
  <cols>
    <col min="1" max="1" width="10" customWidth="1"/>
    <col min="2" max="2" width="12" customWidth="1"/>
    <col min="3" max="3" width="8" customWidth="1"/>
    <col min="4" max="5" width="10" customWidth="1"/>
    <col min="6" max="6" width="13" customWidth="1"/>
  </cols>
  <sheetData>
    <row r="1" spans="1:14" x14ac:dyDescent="0.25">
      <c r="A1" s="9" t="s">
        <v>38</v>
      </c>
      <c r="B1" s="9" t="s">
        <v>20</v>
      </c>
      <c r="C1" s="9" t="s">
        <v>42</v>
      </c>
      <c r="D1" s="9" t="s">
        <v>22</v>
      </c>
      <c r="E1" s="9" t="s">
        <v>43</v>
      </c>
      <c r="F1" s="9" t="s">
        <v>161</v>
      </c>
      <c r="H1" s="24" t="s">
        <v>162</v>
      </c>
      <c r="I1" s="22"/>
      <c r="J1" s="22"/>
      <c r="K1" s="22"/>
      <c r="L1" s="22"/>
      <c r="M1" s="22"/>
      <c r="N1" s="22"/>
    </row>
    <row r="2" spans="1:14" x14ac:dyDescent="0.25">
      <c r="A2" s="5">
        <v>2001</v>
      </c>
      <c r="B2" s="5" t="s">
        <v>23</v>
      </c>
      <c r="C2" s="5">
        <v>2</v>
      </c>
      <c r="D2" s="15">
        <f>INDEX(Справочник_товаров!$C$2:$C$11,MATCH(B2,Справочник_товаров!$A$2:$A$11,0))</f>
        <v>42990</v>
      </c>
      <c r="E2" s="19">
        <f t="shared" ref="E2:E11" si="0">D2*C2</f>
        <v>85980</v>
      </c>
      <c r="F2" s="20" t="str">
        <f t="shared" ref="F2:F11" si="1">IF(E2&gt;50000,"Крупный",IF(E2&gt;10000,"Средний","Малый"))</f>
        <v>Крупный</v>
      </c>
      <c r="H2" s="22"/>
      <c r="I2" s="22"/>
      <c r="J2" s="22"/>
      <c r="K2" s="22"/>
      <c r="L2" s="22"/>
      <c r="M2" s="22"/>
      <c r="N2" s="22"/>
    </row>
    <row r="3" spans="1:14" x14ac:dyDescent="0.25">
      <c r="A3" s="5">
        <v>2002</v>
      </c>
      <c r="B3" s="5" t="s">
        <v>25</v>
      </c>
      <c r="C3" s="5">
        <v>1</v>
      </c>
      <c r="D3" s="15">
        <f>INDEX(Справочник_товаров!$C$2:$C$11,MATCH(B3,Справочник_товаров!$A$2:$A$11,0))</f>
        <v>68990</v>
      </c>
      <c r="E3" s="19">
        <f t="shared" si="0"/>
        <v>68990</v>
      </c>
      <c r="F3" s="20" t="str">
        <f t="shared" si="1"/>
        <v>Крупный</v>
      </c>
      <c r="H3" s="22"/>
      <c r="I3" s="22"/>
      <c r="J3" s="22"/>
      <c r="K3" s="22"/>
      <c r="L3" s="22"/>
      <c r="M3" s="22"/>
      <c r="N3" s="22"/>
    </row>
    <row r="4" spans="1:14" x14ac:dyDescent="0.25">
      <c r="A4" s="5">
        <v>2003</v>
      </c>
      <c r="B4" s="5" t="s">
        <v>26</v>
      </c>
      <c r="C4" s="5">
        <v>3</v>
      </c>
      <c r="D4" s="15">
        <f>INDEX(Справочник_товаров!$C$2:$C$11,MATCH(B4,Справочник_товаров!$A$2:$A$11,0))</f>
        <v>89990</v>
      </c>
      <c r="E4" s="19">
        <f t="shared" si="0"/>
        <v>269970</v>
      </c>
      <c r="F4" s="20" t="str">
        <f t="shared" si="1"/>
        <v>Крупный</v>
      </c>
      <c r="H4" s="22"/>
      <c r="I4" s="22"/>
      <c r="J4" s="22"/>
      <c r="K4" s="22"/>
      <c r="L4" s="22"/>
      <c r="M4" s="22"/>
      <c r="N4" s="22"/>
    </row>
    <row r="5" spans="1:14" x14ac:dyDescent="0.25">
      <c r="A5" s="5">
        <v>2004</v>
      </c>
      <c r="B5" s="5" t="s">
        <v>27</v>
      </c>
      <c r="C5" s="5">
        <v>1</v>
      </c>
      <c r="D5" s="15">
        <f>INDEX(Справочник_товаров!$C$2:$C$11,MATCH(B5,Справочник_товаров!$A$2:$A$11,0))</f>
        <v>15990</v>
      </c>
      <c r="E5" s="19">
        <f t="shared" si="0"/>
        <v>15990</v>
      </c>
      <c r="F5" s="20" t="str">
        <f t="shared" si="1"/>
        <v>Средний</v>
      </c>
    </row>
    <row r="6" spans="1:14" x14ac:dyDescent="0.25">
      <c r="A6" s="5">
        <v>2005</v>
      </c>
      <c r="B6" s="5" t="s">
        <v>29</v>
      </c>
      <c r="C6" s="5">
        <v>4</v>
      </c>
      <c r="D6" s="15">
        <f>INDEX(Справочник_товаров!$C$2:$C$11,MATCH(B6,Справочник_товаров!$A$2:$A$11,0))</f>
        <v>9990</v>
      </c>
      <c r="E6" s="19">
        <f t="shared" si="0"/>
        <v>39960</v>
      </c>
      <c r="F6" s="20" t="str">
        <f t="shared" si="1"/>
        <v>Средний</v>
      </c>
    </row>
    <row r="7" spans="1:14" x14ac:dyDescent="0.25">
      <c r="A7" s="5">
        <v>2006</v>
      </c>
      <c r="B7" s="5" t="s">
        <v>30</v>
      </c>
      <c r="C7" s="5">
        <v>2</v>
      </c>
      <c r="D7" s="15">
        <f>INDEX(Справочник_товаров!$C$2:$C$11,MATCH(B7,Справочник_товаров!$A$2:$A$11,0))</f>
        <v>3490</v>
      </c>
      <c r="E7" s="19">
        <f t="shared" si="0"/>
        <v>6980</v>
      </c>
      <c r="F7" s="20" t="str">
        <f t="shared" si="1"/>
        <v>Малый</v>
      </c>
    </row>
    <row r="8" spans="1:14" x14ac:dyDescent="0.25">
      <c r="A8" s="5">
        <v>2007</v>
      </c>
      <c r="B8" s="5" t="s">
        <v>31</v>
      </c>
      <c r="C8" s="5">
        <v>1</v>
      </c>
      <c r="D8" s="15">
        <f>INDEX(Справочник_товаров!$C$2:$C$11,MATCH(B8,Справочник_товаров!$A$2:$A$11,0))</f>
        <v>12990</v>
      </c>
      <c r="E8" s="19">
        <f t="shared" si="0"/>
        <v>12990</v>
      </c>
      <c r="F8" s="20" t="str">
        <f t="shared" si="1"/>
        <v>Средний</v>
      </c>
    </row>
    <row r="9" spans="1:14" x14ac:dyDescent="0.25">
      <c r="A9" s="5">
        <v>2008</v>
      </c>
      <c r="B9" s="5" t="s">
        <v>33</v>
      </c>
      <c r="C9" s="5">
        <v>5</v>
      </c>
      <c r="D9" s="15">
        <f>INDEX(Справочник_товаров!$C$2:$C$11,MATCH(B9,Справочник_товаров!$A$2:$A$11,0))</f>
        <v>24990</v>
      </c>
      <c r="E9" s="19">
        <f t="shared" si="0"/>
        <v>124950</v>
      </c>
      <c r="F9" s="20" t="str">
        <f t="shared" si="1"/>
        <v>Крупный</v>
      </c>
    </row>
    <row r="10" spans="1:14" x14ac:dyDescent="0.25">
      <c r="A10" s="5">
        <v>2009</v>
      </c>
      <c r="B10" s="5" t="s">
        <v>34</v>
      </c>
      <c r="C10" s="5">
        <v>2</v>
      </c>
      <c r="D10" s="15">
        <f>INDEX(Справочник_товаров!$C$2:$C$11,MATCH(B10,Справочник_товаров!$A$2:$A$11,0))</f>
        <v>2990</v>
      </c>
      <c r="E10" s="19">
        <f t="shared" si="0"/>
        <v>5980</v>
      </c>
      <c r="F10" s="20" t="str">
        <f t="shared" si="1"/>
        <v>Малый</v>
      </c>
    </row>
    <row r="11" spans="1:14" x14ac:dyDescent="0.25">
      <c r="A11" s="5">
        <v>2010</v>
      </c>
      <c r="B11" s="5" t="s">
        <v>36</v>
      </c>
      <c r="C11" s="5">
        <v>3</v>
      </c>
      <c r="D11" s="15">
        <f>INDEX(Справочник_товаров!$C$2:$C$11,MATCH(B11,Справочник_товаров!$A$2:$A$11,0))</f>
        <v>1490</v>
      </c>
      <c r="E11" s="19">
        <f t="shared" si="0"/>
        <v>4470</v>
      </c>
      <c r="F11" s="20" t="str">
        <f t="shared" si="1"/>
        <v>Малый</v>
      </c>
    </row>
    <row r="13" spans="1:14" x14ac:dyDescent="0.25">
      <c r="A13" s="21" t="s">
        <v>164</v>
      </c>
      <c r="B13" s="22"/>
      <c r="C13" s="22"/>
      <c r="D13" s="22"/>
      <c r="E13" s="22"/>
      <c r="F13" s="22"/>
    </row>
  </sheetData>
  <mergeCells count="2">
    <mergeCell ref="A13:F13"/>
    <mergeCell ref="H1:N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Обложка</vt:lpstr>
      <vt:lpstr>Справочник_товаров</vt:lpstr>
      <vt:lpstr>Данные_продажи</vt:lpstr>
      <vt:lpstr>Задание 1. Отчёт</vt:lpstr>
      <vt:lpstr>Задание 2. Дашборд</vt:lpstr>
      <vt:lpstr>Excel-спринт</vt:lpstr>
      <vt:lpstr>Ключ_Спринт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dlamicrasoft@outlook.com</cp:lastModifiedBy>
  <dcterms:created xsi:type="dcterms:W3CDTF">2026-09-05T20:10:30Z</dcterms:created>
  <dcterms:modified xsi:type="dcterms:W3CDTF">2026-09-05T20:10:52Z</dcterms:modified>
</cp:coreProperties>
</file>